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__�__"/>
  <mc:AlternateContent xmlns:mc="http://schemas.openxmlformats.org/markup-compatibility/2006">
    <mc:Choice Requires="x15">
      <x15ac:absPath xmlns:x15ac="http://schemas.microsoft.com/office/spreadsheetml/2010/11/ac" url="C:\vscode_workspace\python_workspace\lostark\search_market_item_proj\"/>
    </mc:Choice>
  </mc:AlternateContent>
  <xr:revisionPtr revIDLastSave="0" documentId="13_ncr:1_{59EC0075-8097-4FBB-B894-BA2B5DD6C3E9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fusion_mat" sheetId="1" r:id="rId1"/>
    <sheet name="record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7" i="2" l="1"/>
  <c r="U176" i="2" l="1"/>
  <c r="U168" i="2"/>
  <c r="U175" i="2" s="1"/>
  <c r="U181" i="2" l="1"/>
  <c r="R177" i="2"/>
  <c r="R176" i="2" l="1"/>
  <c r="R168" i="2"/>
  <c r="R175" i="2" s="1"/>
  <c r="O177" i="2"/>
  <c r="O176" i="2"/>
  <c r="O169" i="2"/>
  <c r="O175" i="2" s="1"/>
  <c r="L177" i="2"/>
  <c r="I177" i="2"/>
  <c r="F177" i="2"/>
  <c r="C177" i="2"/>
  <c r="L176" i="2"/>
  <c r="I176" i="2"/>
  <c r="F176" i="2"/>
  <c r="C176" i="2"/>
  <c r="L175" i="2"/>
  <c r="I175" i="2"/>
  <c r="F169" i="2"/>
  <c r="F175" i="2" s="1"/>
  <c r="F181" i="2" s="1"/>
  <c r="L168" i="2"/>
  <c r="I168" i="2"/>
  <c r="C168" i="2"/>
  <c r="C175" i="2" s="1"/>
  <c r="R154" i="2"/>
  <c r="O154" i="2"/>
  <c r="L154" i="2"/>
  <c r="I154" i="2"/>
  <c r="F154" i="2"/>
  <c r="C154" i="2"/>
  <c r="R153" i="2"/>
  <c r="O153" i="2"/>
  <c r="L153" i="2"/>
  <c r="I153" i="2"/>
  <c r="F153" i="2"/>
  <c r="C153" i="2"/>
  <c r="R145" i="2"/>
  <c r="R152" i="2" s="1"/>
  <c r="O145" i="2"/>
  <c r="O152" i="2" s="1"/>
  <c r="L145" i="2"/>
  <c r="L152" i="2" s="1"/>
  <c r="I145" i="2"/>
  <c r="I152" i="2" s="1"/>
  <c r="F145" i="2"/>
  <c r="F152" i="2" s="1"/>
  <c r="F158" i="2" s="1"/>
  <c r="C145" i="2"/>
  <c r="C152" i="2" s="1"/>
  <c r="C158" i="2" s="1"/>
  <c r="F131" i="2"/>
  <c r="F130" i="2"/>
  <c r="C130" i="2"/>
  <c r="F122" i="2"/>
  <c r="F129" i="2" s="1"/>
  <c r="F135" i="2" s="1"/>
  <c r="C122" i="2"/>
  <c r="C129" i="2" s="1"/>
  <c r="C135" i="2" s="1"/>
  <c r="D137" i="2" s="1"/>
  <c r="L108" i="2"/>
  <c r="I108" i="2"/>
  <c r="F108" i="2"/>
  <c r="C108" i="2"/>
  <c r="C112" i="2" s="1"/>
  <c r="R107" i="2"/>
  <c r="O107" i="2"/>
  <c r="L107" i="2"/>
  <c r="I107" i="2"/>
  <c r="F107" i="2"/>
  <c r="C107" i="2"/>
  <c r="R99" i="2"/>
  <c r="R106" i="2" s="1"/>
  <c r="R112" i="2" s="1"/>
  <c r="O99" i="2"/>
  <c r="O106" i="2" s="1"/>
  <c r="O112" i="2" s="1"/>
  <c r="L99" i="2"/>
  <c r="L106" i="2" s="1"/>
  <c r="I99" i="2"/>
  <c r="I106" i="2" s="1"/>
  <c r="F98" i="2"/>
  <c r="F106" i="2" s="1"/>
  <c r="F112" i="2" s="1"/>
  <c r="C97" i="2"/>
  <c r="C106" i="2" s="1"/>
  <c r="AJ85" i="2"/>
  <c r="AJ89" i="2" s="1"/>
  <c r="AG85" i="2"/>
  <c r="AD85" i="2"/>
  <c r="AD89" i="2" s="1"/>
  <c r="AA85" i="2"/>
  <c r="AA89" i="2" s="1"/>
  <c r="X85" i="2"/>
  <c r="U85" i="2"/>
  <c r="U89" i="2" s="1"/>
  <c r="R85" i="2"/>
  <c r="R89" i="2" s="1"/>
  <c r="O85" i="2"/>
  <c r="O89" i="2" s="1"/>
  <c r="L85" i="2"/>
  <c r="L89" i="2" s="1"/>
  <c r="I85" i="2"/>
  <c r="F85" i="2"/>
  <c r="C85" i="2"/>
  <c r="C89" i="2" s="1"/>
  <c r="AJ84" i="2"/>
  <c r="AG84" i="2"/>
  <c r="AD84" i="2"/>
  <c r="AA84" i="2"/>
  <c r="X84" i="2"/>
  <c r="U84" i="2"/>
  <c r="R84" i="2"/>
  <c r="O84" i="2"/>
  <c r="L84" i="2"/>
  <c r="I84" i="2"/>
  <c r="F84" i="2"/>
  <c r="C84" i="2"/>
  <c r="AJ83" i="2"/>
  <c r="AD83" i="2"/>
  <c r="AA83" i="2"/>
  <c r="X83" i="2"/>
  <c r="U83" i="2"/>
  <c r="R83" i="2"/>
  <c r="O83" i="2"/>
  <c r="L83" i="2"/>
  <c r="AG76" i="2"/>
  <c r="AG83" i="2" s="1"/>
  <c r="AG89" i="2" s="1"/>
  <c r="I76" i="2"/>
  <c r="I83" i="2" s="1"/>
  <c r="F76" i="2"/>
  <c r="F83" i="2" s="1"/>
  <c r="C76" i="2"/>
  <c r="C83" i="2" s="1"/>
  <c r="AD62" i="2"/>
  <c r="AA62" i="2"/>
  <c r="X62" i="2"/>
  <c r="U62" i="2"/>
  <c r="R62" i="2"/>
  <c r="O62" i="2"/>
  <c r="L62" i="2"/>
  <c r="I62" i="2"/>
  <c r="F62" i="2"/>
  <c r="C62" i="2"/>
  <c r="AD61" i="2"/>
  <c r="AA61" i="2"/>
  <c r="X61" i="2"/>
  <c r="U61" i="2"/>
  <c r="R61" i="2"/>
  <c r="O61" i="2"/>
  <c r="L61" i="2"/>
  <c r="I61" i="2"/>
  <c r="F61" i="2"/>
  <c r="C61" i="2"/>
  <c r="AD60" i="2"/>
  <c r="F60" i="2"/>
  <c r="F66" i="2" s="1"/>
  <c r="U54" i="2"/>
  <c r="U60" i="2" s="1"/>
  <c r="AD53" i="2"/>
  <c r="AA53" i="2"/>
  <c r="AA60" i="2" s="1"/>
  <c r="X53" i="2"/>
  <c r="X60" i="2" s="1"/>
  <c r="R53" i="2"/>
  <c r="O53" i="2"/>
  <c r="O60" i="2" s="1"/>
  <c r="L53" i="2"/>
  <c r="L60" i="2" s="1"/>
  <c r="L66" i="2" s="1"/>
  <c r="I53" i="2"/>
  <c r="F53" i="2"/>
  <c r="C53" i="2"/>
  <c r="C60" i="2" s="1"/>
  <c r="C66" i="2" s="1"/>
  <c r="R52" i="2"/>
  <c r="I52" i="2"/>
  <c r="R51" i="2"/>
  <c r="I51" i="2"/>
  <c r="R50" i="2"/>
  <c r="R60" i="2" s="1"/>
  <c r="I50" i="2"/>
  <c r="C40" i="2"/>
  <c r="AD39" i="2"/>
  <c r="AA39" i="2"/>
  <c r="X39" i="2"/>
  <c r="U39" i="2"/>
  <c r="R39" i="2"/>
  <c r="R43" i="2" s="1"/>
  <c r="O39" i="2"/>
  <c r="O43" i="2" s="1"/>
  <c r="L39" i="2"/>
  <c r="I39" i="2"/>
  <c r="F39" i="2"/>
  <c r="C39" i="2"/>
  <c r="AD38" i="2"/>
  <c r="AA38" i="2"/>
  <c r="X38" i="2"/>
  <c r="U38" i="2"/>
  <c r="R38" i="2"/>
  <c r="O38" i="2"/>
  <c r="L38" i="2"/>
  <c r="I38" i="2"/>
  <c r="F38" i="2"/>
  <c r="C38" i="2"/>
  <c r="AA37" i="2"/>
  <c r="AA43" i="2" s="1"/>
  <c r="U37" i="2"/>
  <c r="U43" i="2" s="1"/>
  <c r="R37" i="2"/>
  <c r="O37" i="2"/>
  <c r="L37" i="2"/>
  <c r="AD30" i="2"/>
  <c r="AD37" i="2" s="1"/>
  <c r="AA30" i="2"/>
  <c r="R30" i="2"/>
  <c r="O30" i="2"/>
  <c r="F30" i="2"/>
  <c r="F37" i="2" s="1"/>
  <c r="C30" i="2"/>
  <c r="C37" i="2" s="1"/>
  <c r="I29" i="2"/>
  <c r="I37" i="2" s="1"/>
  <c r="X28" i="2"/>
  <c r="X37" i="2" s="1"/>
  <c r="X43" i="2" s="1"/>
  <c r="U28" i="2"/>
  <c r="O20" i="2"/>
  <c r="F19" i="2"/>
  <c r="F18" i="2"/>
  <c r="F17" i="2"/>
  <c r="F20" i="2" s="1"/>
  <c r="C17" i="2"/>
  <c r="AG16" i="2"/>
  <c r="AD16" i="2"/>
  <c r="AA16" i="2"/>
  <c r="X16" i="2"/>
  <c r="U16" i="2"/>
  <c r="O16" i="2"/>
  <c r="L16" i="2"/>
  <c r="L20" i="2" s="1"/>
  <c r="I16" i="2"/>
  <c r="F16" i="2"/>
  <c r="AG15" i="2"/>
  <c r="AD15" i="2"/>
  <c r="AA15" i="2"/>
  <c r="X15" i="2"/>
  <c r="U15" i="2"/>
  <c r="R15" i="2"/>
  <c r="O15" i="2"/>
  <c r="L15" i="2"/>
  <c r="I15" i="2"/>
  <c r="F15" i="2"/>
  <c r="O14" i="2"/>
  <c r="L14" i="2"/>
  <c r="AG7" i="2"/>
  <c r="AG14" i="2" s="1"/>
  <c r="AD7" i="2"/>
  <c r="AD14" i="2" s="1"/>
  <c r="U7" i="2"/>
  <c r="U14" i="2" s="1"/>
  <c r="R7" i="2"/>
  <c r="R14" i="2" s="1"/>
  <c r="R20" i="2" s="1"/>
  <c r="I7" i="2"/>
  <c r="I14" i="2" s="1"/>
  <c r="F7" i="2"/>
  <c r="F14" i="2" s="1"/>
  <c r="C7" i="2"/>
  <c r="C14" i="2" s="1"/>
  <c r="AA4" i="2"/>
  <c r="AA14" i="2" s="1"/>
  <c r="X4" i="2"/>
  <c r="X14" i="2" s="1"/>
  <c r="AA39" i="1"/>
  <c r="AA38" i="1"/>
  <c r="AA37" i="1"/>
  <c r="W39" i="1"/>
  <c r="W38" i="1"/>
  <c r="W37" i="1"/>
  <c r="L17" i="1"/>
  <c r="H17" i="1"/>
  <c r="D17" i="1"/>
  <c r="L16" i="1"/>
  <c r="H16" i="1"/>
  <c r="D16" i="1"/>
  <c r="L15" i="1"/>
  <c r="H15" i="1"/>
  <c r="D15" i="1"/>
  <c r="L12" i="1"/>
  <c r="H12" i="1"/>
  <c r="D12" i="1"/>
  <c r="L11" i="1"/>
  <c r="H11" i="1"/>
  <c r="D11" i="1"/>
  <c r="L10" i="1"/>
  <c r="D36" i="1" s="1"/>
  <c r="H10" i="1"/>
  <c r="D10" i="1"/>
  <c r="L9" i="1"/>
  <c r="H9" i="1"/>
  <c r="D9" i="1"/>
  <c r="P30" i="1" l="1"/>
  <c r="D29" i="1"/>
  <c r="D25" i="1"/>
  <c r="D23" i="1"/>
  <c r="D38" i="1"/>
  <c r="D32" i="1"/>
  <c r="AD43" i="2"/>
  <c r="I29" i="1"/>
  <c r="Q30" i="1"/>
  <c r="X89" i="2"/>
  <c r="I158" i="2"/>
  <c r="H23" i="1"/>
  <c r="L158" i="2"/>
  <c r="I181" i="2"/>
  <c r="AG20" i="2"/>
  <c r="E29" i="1"/>
  <c r="F38" i="1"/>
  <c r="S30" i="1"/>
  <c r="O66" i="2"/>
  <c r="D68" i="2" s="1"/>
  <c r="F89" i="2"/>
  <c r="D91" i="2" s="1"/>
  <c r="L181" i="2"/>
  <c r="R30" i="1"/>
  <c r="I89" i="2"/>
  <c r="C20" i="2"/>
  <c r="D22" i="2" s="1"/>
  <c r="T30" i="1"/>
  <c r="I20" i="2"/>
  <c r="AA20" i="2"/>
  <c r="U30" i="1"/>
  <c r="E32" i="1"/>
  <c r="AD66" i="2"/>
  <c r="AD20" i="2"/>
  <c r="O30" i="1"/>
  <c r="U20" i="2"/>
  <c r="I112" i="2"/>
  <c r="D114" i="2" s="1"/>
  <c r="L43" i="2"/>
  <c r="G38" i="1"/>
  <c r="V22" i="1"/>
  <c r="V26" i="1"/>
  <c r="X20" i="2"/>
  <c r="I60" i="2"/>
  <c r="I66" i="2" s="1"/>
  <c r="L112" i="2"/>
  <c r="E38" i="1"/>
  <c r="H36" i="1"/>
  <c r="E36" i="1"/>
  <c r="F36" i="1"/>
  <c r="R181" i="2"/>
  <c r="O181" i="2"/>
  <c r="C43" i="2"/>
  <c r="R66" i="2"/>
  <c r="F43" i="2"/>
  <c r="U66" i="2"/>
  <c r="I43" i="2"/>
  <c r="X66" i="2"/>
  <c r="R158" i="2"/>
  <c r="AA66" i="2"/>
  <c r="C181" i="2"/>
  <c r="D183" i="2" s="1"/>
  <c r="O158" i="2"/>
  <c r="D160" i="2" s="1"/>
  <c r="E22" i="1"/>
  <c r="E23" i="1"/>
  <c r="E25" i="1"/>
  <c r="F32" i="1"/>
  <c r="G25" i="1"/>
  <c r="I32" i="1"/>
  <c r="I36" i="1"/>
  <c r="I38" i="1"/>
  <c r="J32" i="1"/>
  <c r="J36" i="1"/>
  <c r="J38" i="1"/>
  <c r="F25" i="1"/>
  <c r="G23" i="1"/>
  <c r="H32" i="1"/>
  <c r="J25" i="1"/>
  <c r="K25" i="1"/>
  <c r="K29" i="1"/>
  <c r="V30" i="1"/>
  <c r="K32" i="1"/>
  <c r="K36" i="1"/>
  <c r="K38" i="1"/>
  <c r="G36" i="1"/>
  <c r="J23" i="1"/>
  <c r="K23" i="1"/>
  <c r="O22" i="1"/>
  <c r="D24" i="1"/>
  <c r="O26" i="1"/>
  <c r="D30" i="1"/>
  <c r="D31" i="1"/>
  <c r="D35" i="1"/>
  <c r="D37" i="1"/>
  <c r="H25" i="1"/>
  <c r="J22" i="1"/>
  <c r="K22" i="1"/>
  <c r="P22" i="1"/>
  <c r="E24" i="1"/>
  <c r="P26" i="1"/>
  <c r="E30" i="1"/>
  <c r="E31" i="1"/>
  <c r="E35" i="1"/>
  <c r="E37" i="1"/>
  <c r="G29" i="1"/>
  <c r="H29" i="1"/>
  <c r="J29" i="1"/>
  <c r="Q22" i="1"/>
  <c r="F24" i="1"/>
  <c r="Q26" i="1"/>
  <c r="F30" i="1"/>
  <c r="F31" i="1"/>
  <c r="F35" i="1"/>
  <c r="F37" i="1"/>
  <c r="F29" i="1"/>
  <c r="G32" i="1"/>
  <c r="H38" i="1"/>
  <c r="R22" i="1"/>
  <c r="G24" i="1"/>
  <c r="R26" i="1"/>
  <c r="G30" i="1"/>
  <c r="G31" i="1"/>
  <c r="G35" i="1"/>
  <c r="G37" i="1"/>
  <c r="F22" i="1"/>
  <c r="I22" i="1"/>
  <c r="S22" i="1"/>
  <c r="H24" i="1"/>
  <c r="S26" i="1"/>
  <c r="H30" i="1"/>
  <c r="H31" i="1"/>
  <c r="H35" i="1"/>
  <c r="H37" i="1"/>
  <c r="I25" i="1"/>
  <c r="I24" i="1"/>
  <c r="T26" i="1"/>
  <c r="I30" i="1"/>
  <c r="I31" i="1"/>
  <c r="I35" i="1"/>
  <c r="I37" i="1"/>
  <c r="I23" i="1"/>
  <c r="T22" i="1"/>
  <c r="U22" i="1"/>
  <c r="J24" i="1"/>
  <c r="U26" i="1"/>
  <c r="J30" i="1"/>
  <c r="J31" i="1"/>
  <c r="J35" i="1"/>
  <c r="J37" i="1"/>
  <c r="H22" i="1"/>
  <c r="K24" i="1"/>
  <c r="K30" i="1"/>
  <c r="K31" i="1"/>
  <c r="K35" i="1"/>
  <c r="K37" i="1"/>
  <c r="F23" i="1"/>
  <c r="G22" i="1"/>
  <c r="D22" i="1"/>
  <c r="D45" i="2" l="1"/>
</calcChain>
</file>

<file path=xl/sharedStrings.xml><?xml version="1.0" encoding="utf-8"?>
<sst xmlns="http://schemas.openxmlformats.org/spreadsheetml/2006/main" count="740" uniqueCount="121">
  <si>
    <t>제작자: 명인은죽었다</t>
  </si>
  <si>
    <t>최신 수정일</t>
  </si>
  <si>
    <t>매뉴얼</t>
  </si>
  <si>
    <t>* 구매 없음: 모든 재료를 가지고 있을 때 아이템 제작 시 수입에서 원재료 판매 시의 수입을 뺀 값. 음수면 재료를 파는 것이 이익</t>
  </si>
  <si>
    <t>* 모두 구매: 모든 재료를 구매하여 제작했을 때의 손익</t>
  </si>
  <si>
    <t>* 시트의 손익은 '한 묶음 당' 기준 (아비도스 10개, 최상레하 15개, 상레하 20개, 중레하 30개가 한 묶음)</t>
  </si>
  <si>
    <t>* 빨간 테두리(최대 이득) 기준: 1) 최상급 오레하의 '구매 없음', 2) 최상급 오레하의 '모두 구매', 3) 아비도스의 '구매 없음', 4) 아비도스의 '모두 구매'</t>
  </si>
  <si>
    <t>고고학 재료</t>
  </si>
  <si>
    <t>거래소 가격</t>
  </si>
  <si>
    <t>낚시 재료</t>
  </si>
  <si>
    <t>수렵 재료</t>
  </si>
  <si>
    <t>제작품</t>
  </si>
  <si>
    <t>제작 수수료 절감률(%)</t>
  </si>
  <si>
    <t>아비도스 유물</t>
  </si>
  <si>
    <t>아비도스 태양 잉어</t>
  </si>
  <si>
    <t>아비도스 두툼한 생고기</t>
  </si>
  <si>
    <t>오레하</t>
  </si>
  <si>
    <t>오레하 유물</t>
  </si>
  <si>
    <t>오레하 태양 잉어</t>
  </si>
  <si>
    <t>오레하 두툼한 생고기</t>
  </si>
  <si>
    <t>상급 오레하</t>
  </si>
  <si>
    <t>희귀한 유물</t>
  </si>
  <si>
    <t>붉은 살 생선</t>
  </si>
  <si>
    <t>다듬은 생고기</t>
  </si>
  <si>
    <t>최상급 오레하</t>
  </si>
  <si>
    <t>고대 유물</t>
  </si>
  <si>
    <t>생선</t>
  </si>
  <si>
    <t>두툼한 생고기</t>
  </si>
  <si>
    <t>아비도스</t>
  </si>
  <si>
    <t>벌목 재료</t>
  </si>
  <si>
    <t>채광 재료</t>
  </si>
  <si>
    <t>채집 재료</t>
  </si>
  <si>
    <t>목재</t>
  </si>
  <si>
    <t>아비도스 목재</t>
  </si>
  <si>
    <t>아비도스 철광석</t>
  </si>
  <si>
    <t>아비도스 들꽃</t>
  </si>
  <si>
    <t>철광석</t>
  </si>
  <si>
    <t>부드러운 목재</t>
  </si>
  <si>
    <t>묵직한 철광석</t>
  </si>
  <si>
    <t>수줍은 들꽃</t>
  </si>
  <si>
    <t>들꽃</t>
  </si>
  <si>
    <t>손익(묶음 당)</t>
  </si>
  <si>
    <t>고고학</t>
  </si>
  <si>
    <t>벌목</t>
  </si>
  <si>
    <t>구매 없음</t>
  </si>
  <si>
    <t>모두 구매</t>
  </si>
  <si>
    <t>일반 구매</t>
  </si>
  <si>
    <t>고급 구매</t>
  </si>
  <si>
    <t>희귀 구매</t>
  </si>
  <si>
    <t>일반+고급</t>
  </si>
  <si>
    <t>일반+희귀</t>
  </si>
  <si>
    <t>고급+희귀</t>
  </si>
  <si>
    <t>채광</t>
  </si>
  <si>
    <t>낚시</t>
  </si>
  <si>
    <t>채집</t>
  </si>
  <si>
    <t>수렵</t>
  </si>
  <si>
    <t>최상레하</t>
  </si>
  <si>
    <t>52*40</t>
  </si>
  <si>
    <t>69*40</t>
  </si>
  <si>
    <t>142*40</t>
  </si>
  <si>
    <t>33*40</t>
  </si>
  <si>
    <t>45*40</t>
  </si>
  <si>
    <t>86*40</t>
  </si>
  <si>
    <t>단위: G</t>
  </si>
  <si>
    <t>날짜</t>
  </si>
  <si>
    <t>08/01/2024</t>
  </si>
  <si>
    <t>08/02/2024</t>
  </si>
  <si>
    <t>08/03/2024</t>
  </si>
  <si>
    <t>08/04/2024</t>
  </si>
  <si>
    <t>08/05/2024</t>
  </si>
  <si>
    <t>08/06/2024</t>
  </si>
  <si>
    <t>품목</t>
  </si>
  <si>
    <t>구매가</t>
  </si>
  <si>
    <t>총 구매가</t>
  </si>
  <si>
    <t>예상 판매</t>
  </si>
  <si>
    <t>실현 판매</t>
  </si>
  <si>
    <t>수익 총합</t>
  </si>
  <si>
    <t>8월 1주차 수익</t>
  </si>
  <si>
    <t>08/07/2024</t>
  </si>
  <si>
    <t>08/08/2024</t>
  </si>
  <si>
    <t>08/09/2024</t>
  </si>
  <si>
    <t>08/10/2024</t>
  </si>
  <si>
    <t>08/11/2024</t>
  </si>
  <si>
    <t>8월 2주차 수익</t>
  </si>
  <si>
    <t>08/15/2024</t>
  </si>
  <si>
    <t>08/16/2024</t>
  </si>
  <si>
    <t>08/17/2024</t>
  </si>
  <si>
    <t>08/18/2024</t>
  </si>
  <si>
    <t>08/19/2024</t>
  </si>
  <si>
    <t>08/20/2024</t>
  </si>
  <si>
    <t>8월 3주차 수익</t>
  </si>
  <si>
    <t>08/21/2024</t>
  </si>
  <si>
    <t>08/22/2024</t>
  </si>
  <si>
    <t>08/23/2024</t>
  </si>
  <si>
    <t>08/24/2024</t>
  </si>
  <si>
    <t>08/25/2024</t>
  </si>
  <si>
    <t>08/26/2024</t>
  </si>
  <si>
    <t>08/27/2024</t>
  </si>
  <si>
    <t>8월 4주차 수익</t>
  </si>
  <si>
    <t>08/28/2024</t>
  </si>
  <si>
    <t>08/29/2024</t>
  </si>
  <si>
    <t>08/30/2024</t>
  </si>
  <si>
    <t>?</t>
  </si>
  <si>
    <t>사용</t>
  </si>
  <si>
    <t>09/08/2024</t>
  </si>
  <si>
    <t>9월 1주차 수익</t>
  </si>
  <si>
    <t>10/12/2024</t>
  </si>
  <si>
    <t>10/13/2024</t>
  </si>
  <si>
    <t>10/14/2024</t>
  </si>
  <si>
    <t>10/15/2024</t>
  </si>
  <si>
    <t>10/16/2024</t>
  </si>
  <si>
    <t>10/17/2024</t>
  </si>
  <si>
    <t>10/19/2024</t>
  </si>
  <si>
    <t>10/20/2024</t>
    <phoneticPr fontId="5" type="noConversion"/>
  </si>
  <si>
    <t>10/21/2024</t>
    <phoneticPr fontId="5" type="noConversion"/>
  </si>
  <si>
    <t>1. '제작 수수료 절감률'을 수동으로 수정한다.</t>
    <phoneticPr fontId="5" type="noConversion"/>
  </si>
  <si>
    <t>2. '거래소 가격 가져오기'를 클릭한다.</t>
    <phoneticPr fontId="5" type="noConversion"/>
  </si>
  <si>
    <t>3. 빨간 테두리의 손익을 보고 융화 재료를 제작한다.</t>
    <phoneticPr fontId="5" type="noConversion"/>
  </si>
  <si>
    <t>이 파일은 Excel VBA를 사용합니다. 단축키: Alt + F11</t>
    <phoneticPr fontId="5" type="noConversion"/>
  </si>
  <si>
    <t>40묶음 구매 재료(단위: 개)</t>
    <phoneticPr fontId="5" type="noConversion"/>
  </si>
  <si>
    <t>2. Alt + F11을 눌러 '모듈 - feth_market_min_price'에서 'api_key' 변수를 수정한다.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</si>
</sst>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rgb="FF000000"/>
      <name val="Calibri"/>
    </font>
    <font>
      <sz val="11"/>
      <color rgb="FF000000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b/>
      <sz val="11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8"/>
      <name val="돋움체"/>
      <family val="3"/>
      <charset val="129"/>
    </font>
    <font>
      <b/>
      <sz val="11"/>
      <color rgb="FFFF0000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2" fontId="1" fillId="0" borderId="0" xfId="0" applyNumberFormat="1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>
      <alignment vertical="center"/>
    </xf>
    <xf numFmtId="0" fontId="1" fillId="0" borderId="0" xfId="0" quotePrefix="1" applyFont="1">
      <alignment vertical="center"/>
    </xf>
    <xf numFmtId="14" fontId="1" fillId="2" borderId="4" xfId="0" applyNumberFormat="1" applyFont="1" applyFill="1" applyBorder="1" applyAlignment="1">
      <alignment horizontal="center" vertical="center"/>
    </xf>
    <xf numFmtId="0" fontId="0" fillId="0" borderId="10" xfId="0" applyBorder="1" applyAlignment="1"/>
    <xf numFmtId="0" fontId="1" fillId="0" borderId="5" xfId="0" applyFont="1" applyBorder="1" applyAlignment="1">
      <alignment horizontal="center" vertical="center"/>
    </xf>
    <xf numFmtId="0" fontId="0" fillId="0" borderId="8" xfId="0" applyBorder="1" applyAlignment="1"/>
    <xf numFmtId="0" fontId="1" fillId="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/>
    <xf numFmtId="0" fontId="1" fillId="6" borderId="12" xfId="0" applyFont="1" applyFill="1" applyBorder="1" applyAlignment="1">
      <alignment horizontal="center" vertical="center"/>
    </xf>
    <xf numFmtId="0" fontId="0" fillId="0" borderId="13" xfId="0" applyBorder="1" applyAlignment="1"/>
    <xf numFmtId="0" fontId="4" fillId="2" borderId="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0" fillId="0" borderId="11" xfId="0" applyBorder="1" applyAlignment="1"/>
    <xf numFmtId="0" fontId="1" fillId="4" borderId="6" xfId="0" applyFont="1" applyFill="1" applyBorder="1" applyAlignment="1">
      <alignment horizontal="center" vertical="center"/>
    </xf>
    <xf numFmtId="0" fontId="0" fillId="0" borderId="9" xfId="0" applyBorder="1" applyAlignment="1"/>
    <xf numFmtId="0" fontId="1" fillId="4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/>
    <xf numFmtId="0" fontId="2" fillId="4" borderId="4" xfId="0" applyFont="1" applyFill="1" applyBorder="1">
      <alignment vertical="center"/>
    </xf>
    <xf numFmtId="0" fontId="1" fillId="6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0" fillId="0" borderId="3" xfId="0" applyBorder="1" applyAlignment="1"/>
    <xf numFmtId="0" fontId="1" fillId="0" borderId="12" xfId="0" applyFont="1" applyBorder="1" applyAlignment="1">
      <alignment horizontal="center" vertical="center"/>
    </xf>
    <xf numFmtId="14" fontId="1" fillId="2" borderId="12" xfId="0" applyNumberFormat="1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표준" xfId="0" builtinId="0"/>
  </cellStyles>
  <dxfs count="18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  <tableStyle name="Light Style 1 - Accent 1" table="0" count="7" xr9:uid="{00000000-0011-0000-FFFF-FFFF01000000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33618</xdr:colOff>
      <xdr:row>7</xdr:row>
      <xdr:rowOff>56030</xdr:rowOff>
    </xdr:from>
    <xdr:ext cx="1938618" cy="571500"/>
    <xdr:sp macro="[0]!fetch_and_save_prices" textlink="">
      <xdr:nvSpPr>
        <xdr:cNvPr id="4" name="직사각형 3">
          <a:extLst>
            <a:ext uri="{FF2B5EF4-FFF2-40B4-BE49-F238E27FC236}">
              <a16:creationId xmlns:a16="http://schemas.microsoft.com/office/drawing/2014/main" id="{71596A53-602C-AD5B-B668-D33E97EE6A3F}"/>
            </a:ext>
          </a:extLst>
        </xdr:cNvPr>
        <xdr:cNvSpPr/>
      </xdr:nvSpPr>
      <xdr:spPr>
        <a:xfrm>
          <a:off x="14197853" y="1546412"/>
          <a:ext cx="1938618" cy="571500"/>
        </a:xfrm>
        <a:prstGeom prst="rect">
          <a:avLst/>
        </a:prstGeom>
        <a:ln w="28575"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 anchorCtr="0">
          <a:noAutofit/>
        </a:bodyPr>
        <a:lstStyle/>
        <a:p>
          <a:pPr algn="l"/>
          <a:r>
            <a:rPr lang="ko-KR" altLang="en-US" sz="1400" b="1" kern="1200"/>
            <a:t>거래소 가격 가져오기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B1000"/>
  <sheetViews>
    <sheetView tabSelected="1" zoomScale="85" zoomScaleNormal="85" zoomScaleSheetLayoutView="75" workbookViewId="0">
      <selection activeCell="L5" sqref="L5"/>
    </sheetView>
  </sheetViews>
  <sheetFormatPr defaultColWidth="14.42578125" defaultRowHeight="15" customHeight="1" x14ac:dyDescent="0.25"/>
  <cols>
    <col min="1" max="11" width="9.28515625" style="9" customWidth="1"/>
    <col min="12" max="12" width="9.140625" style="9" customWidth="1"/>
    <col min="13" max="25" width="9.28515625" style="9" customWidth="1"/>
    <col min="26" max="26" width="11.42578125" style="9" customWidth="1"/>
    <col min="27" max="40" width="14.42578125" style="9" customWidth="1"/>
    <col min="41" max="16384" width="14.42578125" style="9"/>
  </cols>
  <sheetData>
    <row r="1" spans="2:28" ht="16.5" customHeight="1" x14ac:dyDescent="0.25">
      <c r="B1" s="3" t="s">
        <v>0</v>
      </c>
      <c r="E1" s="7" t="s">
        <v>1</v>
      </c>
      <c r="G1" s="40">
        <v>45592</v>
      </c>
      <c r="H1" s="41"/>
    </row>
    <row r="2" spans="2:28" ht="16.5" customHeight="1" x14ac:dyDescent="0.25">
      <c r="B2" s="3" t="s">
        <v>118</v>
      </c>
    </row>
    <row r="3" spans="2:28" ht="16.5" customHeight="1" x14ac:dyDescent="0.25">
      <c r="B3" s="2" t="s">
        <v>2</v>
      </c>
      <c r="C3" s="10" t="s">
        <v>115</v>
      </c>
      <c r="O3" s="9" t="s">
        <v>3</v>
      </c>
      <c r="Z3" s="1"/>
      <c r="AA3" s="1"/>
    </row>
    <row r="4" spans="2:28" ht="16.5" customHeight="1" x14ac:dyDescent="0.25">
      <c r="C4" s="42" t="s">
        <v>120</v>
      </c>
      <c r="O4" s="9" t="s">
        <v>4</v>
      </c>
      <c r="Z4" s="1"/>
      <c r="AA4" s="1"/>
    </row>
    <row r="5" spans="2:28" ht="16.5" customHeight="1" x14ac:dyDescent="0.25">
      <c r="C5" s="9" t="s">
        <v>116</v>
      </c>
      <c r="O5" s="9" t="s">
        <v>5</v>
      </c>
      <c r="Z5" s="1"/>
      <c r="AA5" s="1"/>
    </row>
    <row r="6" spans="2:28" ht="16.5" customHeight="1" x14ac:dyDescent="0.25">
      <c r="C6" s="9" t="s">
        <v>117</v>
      </c>
      <c r="O6" s="3" t="s">
        <v>6</v>
      </c>
      <c r="Z6" s="1"/>
      <c r="AA6" s="1"/>
    </row>
    <row r="7" spans="2:28" ht="16.5" customHeight="1" x14ac:dyDescent="0.25">
      <c r="S7" s="1"/>
      <c r="Z7" s="1"/>
      <c r="AA7" s="1"/>
    </row>
    <row r="8" spans="2:28" ht="16.5" customHeight="1" x14ac:dyDescent="0.25">
      <c r="B8" s="13" t="s">
        <v>7</v>
      </c>
      <c r="C8" s="14"/>
      <c r="D8" s="31" t="s">
        <v>8</v>
      </c>
      <c r="E8" s="32"/>
      <c r="F8" s="31" t="s">
        <v>9</v>
      </c>
      <c r="G8" s="32"/>
      <c r="H8" s="31" t="s">
        <v>8</v>
      </c>
      <c r="I8" s="32"/>
      <c r="J8" s="31" t="s">
        <v>10</v>
      </c>
      <c r="K8" s="32"/>
      <c r="L8" s="16" t="s">
        <v>8</v>
      </c>
      <c r="M8" s="17"/>
      <c r="N8" s="1"/>
      <c r="O8" s="13" t="s">
        <v>11</v>
      </c>
      <c r="P8" s="14"/>
      <c r="Q8" s="16" t="s">
        <v>8</v>
      </c>
      <c r="R8" s="17"/>
      <c r="S8" s="1"/>
      <c r="T8" s="38" t="s">
        <v>12</v>
      </c>
      <c r="U8" s="14"/>
      <c r="V8" s="19"/>
      <c r="Z8" s="1"/>
      <c r="AA8" s="1"/>
    </row>
    <row r="9" spans="2:28" ht="16.5" customHeight="1" x14ac:dyDescent="0.25">
      <c r="B9" s="11" t="s">
        <v>13</v>
      </c>
      <c r="C9" s="12"/>
      <c r="D9" s="22">
        <f>Z26</f>
        <v>649</v>
      </c>
      <c r="E9" s="12"/>
      <c r="F9" s="11" t="s">
        <v>14</v>
      </c>
      <c r="G9" s="12"/>
      <c r="H9" s="22">
        <f>Z29</f>
        <v>637</v>
      </c>
      <c r="I9" s="12"/>
      <c r="J9" s="20" t="s">
        <v>15</v>
      </c>
      <c r="K9" s="12"/>
      <c r="L9" s="35">
        <f>Z30</f>
        <v>666</v>
      </c>
      <c r="M9" s="12"/>
      <c r="N9" s="1"/>
      <c r="O9" s="24" t="s">
        <v>16</v>
      </c>
      <c r="P9" s="19"/>
      <c r="Q9" s="34">
        <v>11</v>
      </c>
      <c r="R9" s="12"/>
      <c r="S9" s="1"/>
      <c r="T9" s="34">
        <v>13</v>
      </c>
      <c r="U9" s="14"/>
      <c r="V9" s="12"/>
      <c r="Z9" s="1"/>
      <c r="AA9" s="1"/>
    </row>
    <row r="10" spans="2:28" ht="16.5" customHeight="1" x14ac:dyDescent="0.25">
      <c r="B10" s="28" t="s">
        <v>17</v>
      </c>
      <c r="C10" s="29"/>
      <c r="D10" s="25">
        <f>Z33</f>
        <v>565</v>
      </c>
      <c r="E10" s="12"/>
      <c r="F10" s="30" t="s">
        <v>18</v>
      </c>
      <c r="G10" s="12"/>
      <c r="H10" s="22">
        <f>Z31</f>
        <v>498</v>
      </c>
      <c r="I10" s="12"/>
      <c r="J10" s="33" t="s">
        <v>19</v>
      </c>
      <c r="K10" s="12"/>
      <c r="L10" s="22">
        <f>Z32</f>
        <v>490</v>
      </c>
      <c r="M10" s="12"/>
      <c r="N10" s="1"/>
      <c r="O10" s="36" t="s">
        <v>20</v>
      </c>
      <c r="P10" s="37"/>
      <c r="Q10" s="34">
        <v>21</v>
      </c>
      <c r="R10" s="12"/>
      <c r="S10" s="1"/>
    </row>
    <row r="11" spans="2:28" ht="16.5" customHeight="1" x14ac:dyDescent="0.25">
      <c r="B11" s="23" t="s">
        <v>21</v>
      </c>
      <c r="C11" s="12"/>
      <c r="D11" s="25">
        <f>Z24</f>
        <v>96</v>
      </c>
      <c r="E11" s="12"/>
      <c r="F11" s="23" t="s">
        <v>22</v>
      </c>
      <c r="G11" s="12"/>
      <c r="H11" s="22">
        <f>Z23</f>
        <v>97</v>
      </c>
      <c r="I11" s="12"/>
      <c r="J11" s="23" t="s">
        <v>23</v>
      </c>
      <c r="K11" s="12"/>
      <c r="L11" s="22">
        <f>Z25</f>
        <v>100</v>
      </c>
      <c r="M11" s="12"/>
      <c r="N11" s="1"/>
      <c r="O11" s="26" t="s">
        <v>24</v>
      </c>
      <c r="P11" s="27"/>
      <c r="Q11" s="34">
        <v>46</v>
      </c>
      <c r="R11" s="12"/>
      <c r="S11" s="1"/>
    </row>
    <row r="12" spans="2:28" ht="16.5" customHeight="1" x14ac:dyDescent="0.25">
      <c r="B12" s="22" t="s">
        <v>25</v>
      </c>
      <c r="C12" s="12"/>
      <c r="D12" s="25">
        <f>Z19</f>
        <v>48</v>
      </c>
      <c r="E12" s="12"/>
      <c r="F12" s="22" t="s">
        <v>26</v>
      </c>
      <c r="G12" s="12"/>
      <c r="H12" s="22">
        <f>Z17</f>
        <v>48</v>
      </c>
      <c r="I12" s="12"/>
      <c r="J12" s="22" t="s">
        <v>27</v>
      </c>
      <c r="K12" s="12"/>
      <c r="L12" s="22">
        <f>Z18</f>
        <v>50</v>
      </c>
      <c r="M12" s="12"/>
      <c r="N12" s="1"/>
      <c r="O12" s="21" t="s">
        <v>28</v>
      </c>
      <c r="P12" s="19"/>
      <c r="Q12" s="34">
        <v>68</v>
      </c>
      <c r="R12" s="12"/>
      <c r="S12" s="1"/>
      <c r="Z12" s="4"/>
    </row>
    <row r="13" spans="2:28" ht="16.5" customHeight="1" x14ac:dyDescent="0.25">
      <c r="Q13" s="1"/>
      <c r="R13" s="1"/>
      <c r="Z13" s="1"/>
      <c r="AA13" s="1"/>
      <c r="AB13" s="1"/>
    </row>
    <row r="14" spans="2:28" ht="16.5" customHeight="1" x14ac:dyDescent="0.25">
      <c r="B14" s="13" t="s">
        <v>29</v>
      </c>
      <c r="C14" s="14"/>
      <c r="D14" s="31" t="s">
        <v>8</v>
      </c>
      <c r="E14" s="32"/>
      <c r="F14" s="31" t="s">
        <v>30</v>
      </c>
      <c r="G14" s="32"/>
      <c r="H14" s="31" t="s">
        <v>8</v>
      </c>
      <c r="I14" s="32"/>
      <c r="J14" s="31" t="s">
        <v>31</v>
      </c>
      <c r="K14" s="32"/>
      <c r="L14" s="16" t="s">
        <v>8</v>
      </c>
      <c r="M14" s="17"/>
      <c r="P14" s="1"/>
      <c r="Q14" s="1"/>
      <c r="R14" s="1"/>
      <c r="X14" s="22" t="s">
        <v>32</v>
      </c>
      <c r="Y14" s="12"/>
      <c r="Z14" s="18">
        <v>48</v>
      </c>
      <c r="AA14" s="19"/>
      <c r="AB14" s="1"/>
    </row>
    <row r="15" spans="2:28" ht="16.5" customHeight="1" x14ac:dyDescent="0.25">
      <c r="B15" s="11" t="s">
        <v>33</v>
      </c>
      <c r="C15" s="12"/>
      <c r="D15" s="22">
        <f>Z34</f>
        <v>639</v>
      </c>
      <c r="E15" s="12"/>
      <c r="F15" s="11" t="s">
        <v>34</v>
      </c>
      <c r="G15" s="12"/>
      <c r="H15" s="22">
        <f>Z27</f>
        <v>630</v>
      </c>
      <c r="I15" s="12"/>
      <c r="J15" s="11" t="s">
        <v>35</v>
      </c>
      <c r="K15" s="12"/>
      <c r="L15" s="22">
        <f>Z28</f>
        <v>612</v>
      </c>
      <c r="M15" s="12"/>
      <c r="P15" s="1"/>
      <c r="Q15" s="1"/>
      <c r="R15" s="1"/>
      <c r="X15" s="22" t="s">
        <v>36</v>
      </c>
      <c r="Y15" s="12"/>
      <c r="Z15" s="18">
        <v>52</v>
      </c>
      <c r="AA15" s="19"/>
    </row>
    <row r="16" spans="2:28" ht="16.5" customHeight="1" x14ac:dyDescent="0.25">
      <c r="B16" s="23" t="s">
        <v>37</v>
      </c>
      <c r="C16" s="12"/>
      <c r="D16" s="25">
        <f>Z22</f>
        <v>97</v>
      </c>
      <c r="E16" s="12"/>
      <c r="F16" s="23" t="s">
        <v>38</v>
      </c>
      <c r="G16" s="12"/>
      <c r="H16" s="22">
        <f>Z21</f>
        <v>96</v>
      </c>
      <c r="I16" s="12"/>
      <c r="J16" s="23" t="s">
        <v>39</v>
      </c>
      <c r="K16" s="12"/>
      <c r="L16" s="22">
        <f>Z20</f>
        <v>161</v>
      </c>
      <c r="M16" s="12"/>
      <c r="O16" s="1"/>
      <c r="P16" s="1"/>
      <c r="Q16" s="1"/>
      <c r="R16" s="1"/>
      <c r="X16" s="22" t="s">
        <v>40</v>
      </c>
      <c r="Y16" s="12"/>
      <c r="Z16" s="18">
        <v>65</v>
      </c>
      <c r="AA16" s="19"/>
      <c r="AB16" s="1"/>
    </row>
    <row r="17" spans="2:28" ht="16.5" customHeight="1" x14ac:dyDescent="0.25">
      <c r="B17" s="25" t="s">
        <v>32</v>
      </c>
      <c r="C17" s="12"/>
      <c r="D17" s="25">
        <f>Z14</f>
        <v>48</v>
      </c>
      <c r="E17" s="12"/>
      <c r="F17" s="25" t="s">
        <v>36</v>
      </c>
      <c r="G17" s="12"/>
      <c r="H17" s="22">
        <f>Z15</f>
        <v>52</v>
      </c>
      <c r="I17" s="12"/>
      <c r="J17" s="25" t="s">
        <v>40</v>
      </c>
      <c r="K17" s="12"/>
      <c r="L17" s="22">
        <f>Z16</f>
        <v>65</v>
      </c>
      <c r="M17" s="12"/>
      <c r="N17" s="6"/>
      <c r="O17" s="1"/>
      <c r="P17" s="1"/>
      <c r="Q17" s="1"/>
      <c r="R17" s="1"/>
      <c r="X17" s="22" t="s">
        <v>26</v>
      </c>
      <c r="Y17" s="12"/>
      <c r="Z17" s="18">
        <v>48</v>
      </c>
      <c r="AA17" s="19"/>
      <c r="AB17" s="1"/>
    </row>
    <row r="18" spans="2:28" ht="16.5" customHeight="1" x14ac:dyDescent="0.25">
      <c r="N18" s="6"/>
      <c r="O18" s="1"/>
      <c r="P18" s="1"/>
      <c r="Q18" s="1"/>
      <c r="R18" s="1"/>
      <c r="X18" s="22" t="s">
        <v>27</v>
      </c>
      <c r="Y18" s="12"/>
      <c r="Z18" s="18">
        <v>50</v>
      </c>
      <c r="AA18" s="19"/>
      <c r="AB18" s="1"/>
    </row>
    <row r="19" spans="2:28" ht="16.5" customHeight="1" x14ac:dyDescent="0.25">
      <c r="B19" s="25" t="s">
        <v>41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2"/>
      <c r="X19" s="22" t="s">
        <v>25</v>
      </c>
      <c r="Y19" s="12"/>
      <c r="Z19" s="18">
        <v>48</v>
      </c>
      <c r="AA19" s="19"/>
    </row>
    <row r="20" spans="2:28" ht="16.5" customHeight="1" x14ac:dyDescent="0.25">
      <c r="B20" s="3"/>
      <c r="C20" s="3"/>
      <c r="D20" s="15" t="s">
        <v>42</v>
      </c>
      <c r="E20" s="14"/>
      <c r="F20" s="14"/>
      <c r="G20" s="14"/>
      <c r="H20" s="14"/>
      <c r="I20" s="14"/>
      <c r="J20" s="14"/>
      <c r="K20" s="12"/>
      <c r="L20" s="1"/>
      <c r="O20" s="15" t="s">
        <v>43</v>
      </c>
      <c r="P20" s="14"/>
      <c r="Q20" s="14"/>
      <c r="R20" s="14"/>
      <c r="S20" s="14"/>
      <c r="T20" s="14"/>
      <c r="U20" s="14"/>
      <c r="V20" s="12"/>
      <c r="W20" s="1"/>
      <c r="X20" s="23" t="s">
        <v>39</v>
      </c>
      <c r="Y20" s="12"/>
      <c r="Z20" s="18">
        <v>161</v>
      </c>
      <c r="AA20" s="19"/>
    </row>
    <row r="21" spans="2:28" ht="16.5" customHeight="1" x14ac:dyDescent="0.25">
      <c r="B21" s="22" t="s">
        <v>11</v>
      </c>
      <c r="C21" s="12"/>
      <c r="D21" s="9" t="s">
        <v>44</v>
      </c>
      <c r="E21" s="9" t="s">
        <v>45</v>
      </c>
      <c r="F21" s="9" t="s">
        <v>46</v>
      </c>
      <c r="G21" s="9" t="s">
        <v>47</v>
      </c>
      <c r="H21" s="9" t="s">
        <v>48</v>
      </c>
      <c r="I21" s="9" t="s">
        <v>49</v>
      </c>
      <c r="J21" s="9" t="s">
        <v>50</v>
      </c>
      <c r="K21" s="9" t="s">
        <v>51</v>
      </c>
      <c r="L21" s="1"/>
      <c r="M21" s="22" t="s">
        <v>11</v>
      </c>
      <c r="N21" s="12"/>
      <c r="O21" s="9" t="s">
        <v>44</v>
      </c>
      <c r="P21" s="9" t="s">
        <v>45</v>
      </c>
      <c r="Q21" s="9" t="s">
        <v>46</v>
      </c>
      <c r="R21" s="9" t="s">
        <v>47</v>
      </c>
      <c r="S21" s="9" t="s">
        <v>48</v>
      </c>
      <c r="T21" s="9" t="s">
        <v>49</v>
      </c>
      <c r="U21" s="9" t="s">
        <v>50</v>
      </c>
      <c r="V21" s="9" t="s">
        <v>51</v>
      </c>
      <c r="W21" s="1"/>
      <c r="X21" s="23" t="s">
        <v>38</v>
      </c>
      <c r="Y21" s="12"/>
      <c r="Z21" s="18">
        <v>96</v>
      </c>
      <c r="AA21" s="19"/>
    </row>
    <row r="22" spans="2:28" ht="16.5" customHeight="1" x14ac:dyDescent="0.25">
      <c r="B22" s="24" t="s">
        <v>16</v>
      </c>
      <c r="C22" s="19"/>
      <c r="D22" s="3">
        <f>($Q$9-ROUNDUP($Q$9*0.05,0))*30-(0.08*($D$10-ROUNDUP($D$10*0.05,0)))-(0.26*($D$11-ROUNDUP($D$11*0.05,0)))-(0.64*($D$12-ROUNDUP($D$12*0.05,0)))-(205-ROUNDUP(205*0.01*$T$9,0))</f>
        <v>26.659999999999997</v>
      </c>
      <c r="E22" s="3">
        <f>($Q$9-ROUNDUP($Q$9*0.05,0))*30-(0.08*$D$10)-(0.26*$D$11)-(0.64*$D$12)-(205-ROUNDUP(205*0.01*$T$9,0))</f>
        <v>21.120000000000005</v>
      </c>
      <c r="F22" s="3">
        <f>($Q$9-ROUNDUP($Q$9*0.05,0))*30-(0.08*($D$10-ROUNDUP($D$10*0.05,0)))-(0.26*($D$11-ROUNDUP($D$11*0.05,0)))-(0.64*$D$12)-(205-ROUNDUP(205*0.01*$T$9,0))</f>
        <v>24.740000000000009</v>
      </c>
      <c r="G22" s="3">
        <f>($Q$9-ROUNDUP($Q$9*0.05,0))*30-(0.08*($D$10-ROUNDUP($D$10*0.05,0)))-(0.26*$D$11)-(0.64*($D$12-ROUNDUP($D$12*0.05,0)))-(205-ROUNDUP(205*0.01*$T$9,0))</f>
        <v>25.359999999999985</v>
      </c>
      <c r="H22" s="3">
        <f>($Q$9-ROUNDUP($Q$9*0.05,0))*30-(0.08*$D$10)-(0.26*($D$11-ROUNDUP($D$11*0.05,0)))-(0.64*($D$12-ROUNDUP($D$12*0.05,0)))-(205-ROUNDUP(205*0.01*$T$9,0))</f>
        <v>24.340000000000003</v>
      </c>
      <c r="I22" s="3">
        <f>($Q$9-ROUNDUP($Q$9*0.05,0))*30-(0.08*($D$10-ROUNDUP($D$10*0.05,0)))-(0.26*$D$11)-(0.64*$D$12)-(205-ROUNDUP(205*0.01*$T$9,0))</f>
        <v>23.439999999999998</v>
      </c>
      <c r="J22" s="3">
        <f>($Q$9-ROUNDUP($Q$9*0.05,0))*30-(0.08*$D$10)-(0.26*($D$11-ROUNDUP($D$11*0.05,0)))-(0.64*$D$12)-(205-ROUNDUP(205*0.01*$T$9,0))</f>
        <v>22.420000000000016</v>
      </c>
      <c r="K22" s="3">
        <f>($Q$9-ROUNDUP($Q$9*0.05,0))*30-(0.08*$D$10)-(0.26*$D$11)-(0.64*($D$12-ROUNDUP($D$12*0.05,0)))-(205-ROUNDUP(205*0.01*$T$9,0))</f>
        <v>23.039999999999992</v>
      </c>
      <c r="L22" s="1"/>
      <c r="M22" s="21" t="s">
        <v>28</v>
      </c>
      <c r="N22" s="19"/>
      <c r="O22" s="3">
        <f>($Q$12-ROUNDUP($Q$12*0.05,0))*10-(0.33*($D$15-ROUNDUP($D$15*0.05,0)))-(0.45*($D$16-ROUNDUP($D$16*0.05,0)))-(0.86*($D$17-ROUNDUP($D$17*0.05,0)))-(400-ROUNDUP(400*0.01*$T$9,0))</f>
        <v>11.590000000000032</v>
      </c>
      <c r="P22" s="3">
        <f>($Q$12-ROUNDUP($Q$12*0.05,0))*10-(0.33*$D$15)-(0.45*$D$16)-(0.86*$D$17)-(400-ROUNDUP(400*0.01*$T$9,0))</f>
        <v>-3.7999999999999545</v>
      </c>
      <c r="Q22" s="3">
        <f>($Q$12-ROUNDUP($Q$12*0.05,0))*10-(0.33*($D$15-ROUNDUP($D$15*0.05,0)))-(0.45*($D$16-ROUNDUP($D$16*0.05,0)))-(0.86*$D$17)-(400-ROUNDUP(400*0.01*$T$9,0))</f>
        <v>9.0099999999999909</v>
      </c>
      <c r="R22" s="3">
        <f>($Q$12-ROUNDUP($Q$12*0.05,0))*10-(0.33*($D$15-ROUNDUP($D$15*0.05,0)))-(0.45*$D$16)-(0.86*($D$17-ROUNDUP($D$17*0.05,0)))-(400-ROUNDUP(400*0.01*$T$9,0))</f>
        <v>9.3400000000000318</v>
      </c>
      <c r="S22" s="3">
        <f>($Q$12-ROUNDUP($Q$12*0.05,0))*10-(0.33*$D$15)-(0.45*($D$16-ROUNDUP($D$16*0.05,0)))-(0.86*($D$17-ROUNDUP($D$17*0.05,0)))-(400-ROUNDUP(400*0.01*$T$9,0))</f>
        <v>1.0300000000000296</v>
      </c>
      <c r="T22" s="3">
        <f>($Q$12-ROUNDUP($Q$12*0.05,0))*10-(0.33*($D$15-ROUNDUP($D$15*0.05,0)))-(0.45*$D$16)-(0.86*$D$17)-(400-ROUNDUP(400*0.01*$T$9,0))</f>
        <v>6.7599999999999909</v>
      </c>
      <c r="U22" s="3">
        <f>($Q$12-ROUNDUP($Q$12*0.05,0))*10-(0.33*$D$15)-(0.45*($D$16-ROUNDUP($D$16*0.05,0)))-(0.86*$D$17)-(400-ROUNDUP(400*0.01*$T$9,0))</f>
        <v>-1.5499999999999545</v>
      </c>
      <c r="V22" s="3">
        <f>($Q$12-ROUNDUP($Q$12*0.05,0))*10-(0.33*$D$15)-(0.45*$D$16)-(0.86*($D$17-ROUNDUP($D$17*0.05,0)))-(400-ROUNDUP(400*0.01*$T$9,0))</f>
        <v>-1.2199999999999704</v>
      </c>
      <c r="W22" s="1"/>
      <c r="X22" s="23" t="s">
        <v>37</v>
      </c>
      <c r="Y22" s="12"/>
      <c r="Z22" s="18">
        <v>97</v>
      </c>
      <c r="AA22" s="19"/>
    </row>
    <row r="23" spans="2:28" ht="16.5" customHeight="1" x14ac:dyDescent="0.25">
      <c r="B23" s="36" t="s">
        <v>20</v>
      </c>
      <c r="C23" s="37"/>
      <c r="D23" s="3">
        <f>($Q$10-ROUNDUP($Q$10*0.05,0))*20-(0.16*($D$10-ROUNDUP($D$10*0.05,0)))-(0.29*($D$11-ROUNDUP($D$11*0.05,0)))-(0.94*($D$12-ROUNDUP($D$12*0.05,0)))-(250-ROUNDUP(250*0.01*$T$9,0))</f>
        <v>8.5500000000000114</v>
      </c>
      <c r="E23" s="3">
        <f>($Q$10-ROUNDUP($Q$10*0.05,0))*20-(0.16*$D$10)-(0.29*$D$11)-(0.94*$D$12)-(250-ROUNDUP(250*0.01*$T$9,0))</f>
        <v>-0.3599999999999568</v>
      </c>
      <c r="F23" s="3">
        <f>($Q$10-ROUNDUP($Q$10*0.05,0))*20-(0.16*($D$10-ROUNDUP($D$10*0.05,0)))-(0.29*($D$11-ROUNDUP($D$11*0.05,0)))-(0.94*$D$12)-(250-ROUNDUP(250*0.01*$T$9,0))</f>
        <v>5.7300000000000182</v>
      </c>
      <c r="G23" s="3">
        <f>($Q$10-ROUNDUP($Q$10*0.05,0))*20-(0.16*($D$10-ROUNDUP($D$10*0.05,0)))-(0.29*$D$11)-(0.94*($D$12-ROUNDUP($D$12*0.05,0)))-(250-ROUNDUP(250*0.01*$T$9,0))</f>
        <v>7.1000000000000227</v>
      </c>
      <c r="H23" s="3">
        <f>($Q$10-ROUNDUP($Q$10*0.05,0))*20-(0.16*$D$10)-(0.29*($D$11-ROUNDUP($D$11*0.05,0)))-(0.94*($D$12-ROUNDUP($D$12*0.05,0)))-(250-ROUNDUP(250*0.01*$T$9,0))</f>
        <v>3.910000000000025</v>
      </c>
      <c r="I23" s="3">
        <f>($Q$10-ROUNDUP($Q$10*0.05,0))*20-(0.16*($D$10-ROUNDUP($D$10*0.05,0)))-(0.29*$D$11)-(0.94*$D$12)-(250-ROUNDUP(250*0.01*$T$9,0))</f>
        <v>4.2800000000000296</v>
      </c>
      <c r="J23" s="3">
        <f>($Q$10-ROUNDUP($Q$10*0.05,0))*20-(0.16*$D$10)-(0.29*($D$11-ROUNDUP($D$11*0.05,0)))-(0.94*$D$12)-(250-ROUNDUP(250*0.01*$T$9,0))</f>
        <v>1.0900000000000318</v>
      </c>
      <c r="K23" s="3">
        <f>($Q$10-ROUNDUP($Q$10*0.05,0))*20-(0.16*$D$10)-(0.29*$D$11)-(0.94*($D$12-ROUNDUP($D$12*0.05,0)))-(250-ROUNDUP(250*0.01*$T$9,0))</f>
        <v>2.4600000000000364</v>
      </c>
      <c r="L23" s="1"/>
      <c r="M23" s="3"/>
      <c r="N23" s="3"/>
      <c r="O23" s="3"/>
      <c r="P23" s="3"/>
      <c r="Q23" s="3"/>
      <c r="R23" s="3"/>
      <c r="S23" s="3"/>
      <c r="T23" s="3"/>
      <c r="U23" s="3"/>
      <c r="V23" s="3"/>
      <c r="W23" s="1"/>
      <c r="X23" s="23" t="s">
        <v>22</v>
      </c>
      <c r="Y23" s="12"/>
      <c r="Z23" s="18">
        <v>97</v>
      </c>
      <c r="AA23" s="19"/>
    </row>
    <row r="24" spans="2:28" ht="16.5" customHeight="1" x14ac:dyDescent="0.25">
      <c r="B24" s="26" t="s">
        <v>24</v>
      </c>
      <c r="C24" s="27"/>
      <c r="D24" s="3">
        <f>($Q$11-ROUNDUP($Q$11*0.05,0))*15-(0.52*($D$10-ROUNDUP($D$10*0.05,0)))-(0.51*($D$11-ROUNDUP($D$11*0.05,0)))-(1.07*($D$12-ROUNDUP($D$12*0.05,0)))-(300-ROUNDUP(300*0.01*$T$9,0))</f>
        <v>10.719999999999914</v>
      </c>
      <c r="E24" s="3">
        <f>($Q$11-ROUNDUP($Q$11*0.05,0))*15-(0.52*$D$10)-(0.51*$D$11)-(1.07*$D$12)-(300-ROUNDUP(300*0.01*$T$9,0))</f>
        <v>-10.120000000000005</v>
      </c>
      <c r="F24" s="3">
        <f>($Q$11-ROUNDUP($Q$11*0.05,0))*15-(0.52*($D$10-ROUNDUP($D$10*0.05,0)))-(0.51*($D$11-ROUNDUP($D$11*0.05,0)))-(1.07*$D$12)-(300-ROUNDUP(300*0.01*$T$9,0))</f>
        <v>7.5099999999999341</v>
      </c>
      <c r="G24" s="3">
        <f>($Q$11-ROUNDUP($Q$11*0.05,0))*15-(0.52*($D$10-ROUNDUP($D$10*0.05,0)))-(0.51*$D$11)-(1.07*($D$12-ROUNDUP($D$12*0.05,0)))-(300-ROUNDUP(300*0.01*$T$9,0))</f>
        <v>8.1699999999999591</v>
      </c>
      <c r="H24" s="3">
        <f>($Q$11-ROUNDUP($Q$11*0.05,0))*15-(0.52*$D$10)-(0.51*($D$11-ROUNDUP($D$11*0.05,0)))-(1.07*($D$12-ROUNDUP($D$12*0.05,0)))-(300-ROUNDUP(300*0.01*$T$9,0))</f>
        <v>-4.3600000000000136</v>
      </c>
      <c r="I24" s="3">
        <f>($Q$11-ROUNDUP($Q$11*0.05,0))*15-(0.52*($D$10-ROUNDUP($D$10*0.05,0)))-(0.51*$D$11)-(1.07*$D$12)-(300-ROUNDUP(300*0.01*$T$9,0))</f>
        <v>4.9599999999999795</v>
      </c>
      <c r="J24" s="3">
        <f>($Q$11-ROUNDUP($Q$11*0.05,0))*15-(0.52*$D$10)-(0.51*($D$11-ROUNDUP($D$11*0.05,0)))-(1.07*$D$12)-(300-ROUNDUP(300*0.01*$T$9,0))</f>
        <v>-7.57000000000005</v>
      </c>
      <c r="K24" s="3">
        <f>($Q$11-ROUNDUP($Q$11*0.05,0))*15-(0.52*$D$10)-(0.51*$D$11)-(1.07*($D$12-ROUNDUP($D$12*0.05,0)))-(300-ROUNDUP(300*0.01*$T$9,0))</f>
        <v>-6.9099999999999966</v>
      </c>
      <c r="L24" s="1"/>
      <c r="O24" s="15" t="s">
        <v>52</v>
      </c>
      <c r="P24" s="14"/>
      <c r="Q24" s="14"/>
      <c r="R24" s="14"/>
      <c r="S24" s="14"/>
      <c r="T24" s="14"/>
      <c r="U24" s="14"/>
      <c r="V24" s="12"/>
      <c r="W24" s="1"/>
      <c r="X24" s="23" t="s">
        <v>21</v>
      </c>
      <c r="Y24" s="12"/>
      <c r="Z24" s="18">
        <v>96</v>
      </c>
      <c r="AA24" s="19"/>
    </row>
    <row r="25" spans="2:28" ht="16.5" customHeight="1" x14ac:dyDescent="0.25">
      <c r="B25" s="21" t="s">
        <v>28</v>
      </c>
      <c r="C25" s="19"/>
      <c r="D25" s="3">
        <f>($Q$12-ROUNDUP($Q$12*0.05,0))*10-(0.33*($D$9-ROUNDUP($D$9*0.05,0)))-(0.45*($D$11-ROUNDUP($D$11*0.05,0)))-(0.86*($D$12-ROUNDUP($D$12*0.05,0)))-(400-ROUNDUP(400*0.01*$T$9,0))</f>
        <v>9.07000000000005</v>
      </c>
      <c r="E25" s="3">
        <f>($Q$12-ROUNDUP($Q$12*0.05,0))*10-(0.33*$D$9)-(0.45*$D$11)-(0.86*$D$12)-(400-ROUNDUP(400*0.01*$T$9,0))</f>
        <v>-6.6499999999999773</v>
      </c>
      <c r="F25" s="3">
        <f>($Q$12-ROUNDUP($Q$12*0.05,0))*10-(0.33*($D$9-ROUNDUP($D$9*0.05,0)))-(0.45*($D$11-ROUNDUP($D$11*0.05,0)))-(0.86*$D$12)-(400-ROUNDUP(400*0.01*$T$9,0))</f>
        <v>6.4900000000000091</v>
      </c>
      <c r="G25" s="3">
        <f>($Q$12-ROUNDUP($Q$12*0.05,0))*10-(0.33*($D$9-ROUNDUP($D$9*0.05,0)))-(0.45*$D$11)-(0.86*($D$12-ROUNDUP($D$12*0.05,0)))-(400-ROUNDUP(400*0.01*$T$9,0))</f>
        <v>6.82000000000005</v>
      </c>
      <c r="H25" s="3">
        <f>($Q$12-ROUNDUP($Q$12*0.05,0))*10-(0.33*$D$9)-(0.45*($D$11-ROUNDUP($D$11*0.05,0)))-(0.86*($D$12-ROUNDUP($D$12*0.05,0)))-(400-ROUNDUP(400*0.01*$T$9,0))</f>
        <v>-1.8199999999999932</v>
      </c>
      <c r="I25" s="3">
        <f>($Q$12-ROUNDUP($Q$12*0.05,0))*10-(0.33*($D$9-ROUNDUP($D$9*0.05,0)))-(0.45*$D$11)-(0.86*$D$12)-(400-ROUNDUP(400*0.01*$T$9,0))</f>
        <v>4.2400000000000091</v>
      </c>
      <c r="J25" s="3">
        <f>($Q$12-ROUNDUP($Q$12*0.05,0))*10-(0.33*$D$9)-(0.45*($D$11-ROUNDUP($D$11*0.05,0)))-(0.86*$D$12)-(400-ROUNDUP(400*0.01*$T$9,0))</f>
        <v>-4.3999999999999773</v>
      </c>
      <c r="K25" s="3">
        <f>($Q$12-ROUNDUP($Q$12*0.05,0))*10-(0.33*$D$9)-(0.45*$D$11)-(0.86*($D$12-ROUNDUP($D$12*0.05,0)))-(400-ROUNDUP(400*0.01*$T$9,0))</f>
        <v>-4.0699999999999932</v>
      </c>
      <c r="L25" s="1"/>
      <c r="M25" s="22" t="s">
        <v>11</v>
      </c>
      <c r="N25" s="12"/>
      <c r="O25" s="9" t="s">
        <v>44</v>
      </c>
      <c r="P25" s="9" t="s">
        <v>45</v>
      </c>
      <c r="Q25" s="9" t="s">
        <v>46</v>
      </c>
      <c r="R25" s="9" t="s">
        <v>47</v>
      </c>
      <c r="S25" s="9" t="s">
        <v>48</v>
      </c>
      <c r="T25" s="9" t="s">
        <v>49</v>
      </c>
      <c r="U25" s="9" t="s">
        <v>50</v>
      </c>
      <c r="V25" s="9" t="s">
        <v>51</v>
      </c>
      <c r="W25" s="1"/>
      <c r="X25" s="23" t="s">
        <v>23</v>
      </c>
      <c r="Y25" s="12"/>
      <c r="Z25" s="18">
        <v>100</v>
      </c>
      <c r="AA25" s="19"/>
    </row>
    <row r="26" spans="2:28" ht="16.5" customHeight="1" x14ac:dyDescent="0.25">
      <c r="M26" s="21" t="s">
        <v>28</v>
      </c>
      <c r="N26" s="19"/>
      <c r="O26" s="3">
        <f>($Q$12-ROUNDUP($Q$12*0.05,0))*10-(0.33*($H$15-ROUNDUP($H$15*0.05,0)))-(0.45*($H$16-ROUNDUP($H$16*0.05,0)))-(0.86*($H$17-ROUNDUP($H$17*0.05,0)))-(400-ROUNDUP(400*0.01*$T$9,0))</f>
        <v>11.569999999999993</v>
      </c>
      <c r="P26" s="3">
        <f>($Q$12-ROUNDUP($Q$12*0.05,0))*10-(0.33*$H$15)-(0.45*$H$16)-(0.86*$H$17)-(400-ROUNDUP(400*0.01*$T$9,0))</f>
        <v>-3.8199999999999363</v>
      </c>
      <c r="Q26" s="3">
        <f>($Q$12-ROUNDUP($Q$12*0.05,0))*10-(0.33*($H$15-ROUNDUP($H$15*0.05,0)))-(0.45*($H$16-ROUNDUP($H$16*0.05,0)))-(0.86*$H$17)-(400-ROUNDUP(400*0.01*$T$9,0))</f>
        <v>8.9900000000000091</v>
      </c>
      <c r="R26" s="3">
        <f>($Q$12-ROUNDUP($Q$12*0.05,0))*10-(0.33*($H$15-ROUNDUP($H$15*0.05,0)))-(0.45*$H$16)-(0.86*($H$17-ROUNDUP($H$17*0.05,0)))-(400-ROUNDUP(400*0.01*$T$9,0))</f>
        <v>9.3199999999999932</v>
      </c>
      <c r="S26" s="3">
        <f>($Q$12-ROUNDUP($Q$12*0.05,0))*10-(0.33*$H$15)-(0.45*($H$16-ROUNDUP($H$16*0.05,0)))-(0.86*($H$17-ROUNDUP($H$17*0.05,0)))-(400-ROUNDUP(400*0.01*$T$9,0))</f>
        <v>1.0100000000000477</v>
      </c>
      <c r="T26" s="3">
        <f>($Q$12-ROUNDUP($Q$12*0.05,0))*10-(0.33*($H$15-ROUNDUP($H$15*0.05,0)))-(0.45*$H$16)-(0.86*$H$17)-(400-ROUNDUP(400*0.01*$T$9,0))</f>
        <v>6.7400000000000091</v>
      </c>
      <c r="U26" s="3">
        <f>($Q$12-ROUNDUP($Q$12*0.05,0))*10-(0.33*$H$15)-(0.45*($H$16-ROUNDUP($H$16*0.05,0)))-(0.86*$H$17)-(400-ROUNDUP(400*0.01*$T$9,0))</f>
        <v>-1.5699999999999363</v>
      </c>
      <c r="V26" s="3">
        <f>($Q$12-ROUNDUP($Q$12*0.05,0))*10-(0.33*$H$15)-(0.45*$H$16)-(0.86*($H$17-ROUNDUP($H$17*0.05,0)))-(400-ROUNDUP(400*0.01*$T$9,0))</f>
        <v>-1.2399999999999523</v>
      </c>
      <c r="W26" s="1"/>
      <c r="X26" s="11" t="s">
        <v>13</v>
      </c>
      <c r="Y26" s="12"/>
      <c r="Z26" s="18">
        <v>649</v>
      </c>
      <c r="AA26" s="19"/>
    </row>
    <row r="27" spans="2:28" ht="16.5" customHeight="1" x14ac:dyDescent="0.25">
      <c r="B27" s="3"/>
      <c r="C27" s="3"/>
      <c r="D27" s="15" t="s">
        <v>53</v>
      </c>
      <c r="E27" s="14"/>
      <c r="F27" s="14"/>
      <c r="G27" s="14"/>
      <c r="H27" s="14"/>
      <c r="I27" s="14"/>
      <c r="J27" s="14"/>
      <c r="K27" s="12"/>
      <c r="W27" s="1"/>
      <c r="X27" s="39" t="s">
        <v>34</v>
      </c>
      <c r="Y27" s="19"/>
      <c r="Z27" s="18">
        <v>630</v>
      </c>
      <c r="AA27" s="19"/>
    </row>
    <row r="28" spans="2:28" ht="16.5" customHeight="1" x14ac:dyDescent="0.25">
      <c r="B28" s="22" t="s">
        <v>11</v>
      </c>
      <c r="C28" s="12"/>
      <c r="D28" s="9" t="s">
        <v>44</v>
      </c>
      <c r="E28" s="9" t="s">
        <v>45</v>
      </c>
      <c r="F28" s="9" t="s">
        <v>46</v>
      </c>
      <c r="G28" s="9" t="s">
        <v>47</v>
      </c>
      <c r="H28" s="9" t="s">
        <v>48</v>
      </c>
      <c r="I28" s="9" t="s">
        <v>49</v>
      </c>
      <c r="J28" s="9" t="s">
        <v>50</v>
      </c>
      <c r="K28" s="9" t="s">
        <v>51</v>
      </c>
      <c r="O28" s="15" t="s">
        <v>54</v>
      </c>
      <c r="P28" s="14"/>
      <c r="Q28" s="14"/>
      <c r="R28" s="14"/>
      <c r="S28" s="14"/>
      <c r="T28" s="14"/>
      <c r="U28" s="14"/>
      <c r="V28" s="12"/>
      <c r="W28" s="1"/>
      <c r="X28" s="11" t="s">
        <v>35</v>
      </c>
      <c r="Y28" s="12"/>
      <c r="Z28" s="18">
        <v>612</v>
      </c>
      <c r="AA28" s="19"/>
    </row>
    <row r="29" spans="2:28" ht="16.5" customHeight="1" x14ac:dyDescent="0.25">
      <c r="B29" s="24" t="s">
        <v>16</v>
      </c>
      <c r="C29" s="19"/>
      <c r="D29" s="3">
        <f>($Q$9-ROUNDUP($Q$9*0.05,0))*30-(0.1*($H$10-ROUNDUP($H$10*0.05,0)))-(0.4*($H$11-ROUNDUP($H$11*0.05,0)))-(0.8*($H$12-ROUNDUP($H$12*0.05,0)))-(80-ROUNDUP(80*0.01*$T$9,0))</f>
        <v>110.89999999999998</v>
      </c>
      <c r="E29" s="3">
        <f>($Q$9-ROUNDUP($Q$9*0.05,0))*30-(0.1*$H$10)-(0.4*$H$11)-(0.8*$H$12)-(80-ROUNDUP(80*0.01*$T$9,0))</f>
        <v>103.99999999999997</v>
      </c>
      <c r="F29" s="3">
        <f>($Q$9-ROUNDUP($Q$9*0.05,0))*30-(0.1*($H$10-ROUNDUP($H$10*0.05,0)))-(0.4*($H$11-ROUNDUP($H$11*0.05,0)))-(0.8*$H$12)-(80-ROUNDUP(80*0.01*$T$9,0))</f>
        <v>108.49999999999997</v>
      </c>
      <c r="G29" s="3">
        <f>($Q$9-ROUNDUP($Q$9*0.05,0))*30-(0.1*($H$10-ROUNDUP($H$10*0.05,0)))-(0.4*$H$11)-(0.8*($H$12-ROUNDUP($H$12*0.05,0)))-(80-ROUNDUP(80*0.01*$T$9,0))</f>
        <v>108.89999999999998</v>
      </c>
      <c r="H29" s="3">
        <f>($Q$9-ROUNDUP($Q$9*0.05,0))*30-(0.1*$H$10)-(0.4*($H$11-ROUNDUP($H$11*0.05,0)))-(0.8*($H$12-ROUNDUP($H$12*0.05,0)))-(80-ROUNDUP(80*0.01*$T$9,0))</f>
        <v>108.39999999999998</v>
      </c>
      <c r="I29" s="3">
        <f>($Q$9-ROUNDUP($Q$9*0.05,0))*30-(0.1*($H$10-ROUNDUP($H$10*0.05,0)))-(0.4*$H$11)-(0.8*$H$12)-(80-ROUNDUP(80*0.01*$T$9,0))</f>
        <v>106.49999999999997</v>
      </c>
      <c r="J29" s="3">
        <f>($Q$9-ROUNDUP($Q$9*0.05,0))*30-(0.1*$H$10)-(0.4*($H$11-ROUNDUP($H$11*0.05,0)))-(0.8*$H$12)-(80-ROUNDUP(80*0.01*$T$9,0))</f>
        <v>105.99999999999997</v>
      </c>
      <c r="K29" s="3">
        <f>($Q$9-ROUNDUP($Q$9*0.05,0))*30-(0.1*$H$10)-(0.4*$H$11)-(0.8*($H$12-ROUNDUP($H$12*0.05,0)))-(80-ROUNDUP(80*0.01*$T$9,0))</f>
        <v>106.39999999999998</v>
      </c>
      <c r="M29" s="22" t="s">
        <v>11</v>
      </c>
      <c r="N29" s="12"/>
      <c r="O29" s="9" t="s">
        <v>44</v>
      </c>
      <c r="P29" s="9" t="s">
        <v>45</v>
      </c>
      <c r="Q29" s="9" t="s">
        <v>46</v>
      </c>
      <c r="R29" s="9" t="s">
        <v>47</v>
      </c>
      <c r="S29" s="9" t="s">
        <v>48</v>
      </c>
      <c r="T29" s="9" t="s">
        <v>49</v>
      </c>
      <c r="U29" s="9" t="s">
        <v>50</v>
      </c>
      <c r="V29" s="9" t="s">
        <v>51</v>
      </c>
      <c r="W29" s="1"/>
      <c r="X29" s="11" t="s">
        <v>14</v>
      </c>
      <c r="Y29" s="12"/>
      <c r="Z29" s="18">
        <v>637</v>
      </c>
      <c r="AA29" s="19"/>
    </row>
    <row r="30" spans="2:28" ht="16.5" customHeight="1" x14ac:dyDescent="0.25">
      <c r="B30" s="36" t="s">
        <v>20</v>
      </c>
      <c r="C30" s="37"/>
      <c r="D30" s="3">
        <f>($Q$10-ROUNDUP($Q$10*0.05,0))*20-(0.16*($H$10-ROUNDUP($H$10*0.05,0)))-(0.64*($H$11-ROUNDUP($H$11*0.05,0)))-(1.28*($H$12-ROUNDUP($H$12*0.05,0)))-(250-ROUNDUP(250*0.01*$T$9,0))</f>
        <v>-29.159999999999997</v>
      </c>
      <c r="E30" s="3">
        <f>($Q$10-ROUNDUP($Q$10*0.05,0))*20-(0.16*$H$10)-(0.64*$H$11)-(1.28*$H$12)-(250-ROUNDUP(250*0.01*$T$9,0))</f>
        <v>-40.199999999999989</v>
      </c>
      <c r="F30" s="3">
        <f>($Q$10-ROUNDUP($Q$10*0.05,0))*20-(0.16*($H$10-ROUNDUP($H$10*0.05,0)))-(0.64*($H$11-ROUNDUP($H$11*0.05,0)))-(1.28*$H$12)-(250-ROUNDUP(250*0.01*$T$9,0))</f>
        <v>-33</v>
      </c>
      <c r="G30" s="3">
        <f>($Q$10-ROUNDUP($Q$10*0.05,0))*20-(0.16*($H$10-ROUNDUP($H$10*0.05,0)))-(0.64*$H$11)-(1.28*($H$12-ROUNDUP($H$12*0.05,0)))-(250-ROUNDUP(250*0.01*$T$9,0))</f>
        <v>-32.359999999999985</v>
      </c>
      <c r="H30" s="3">
        <f>($Q$10-ROUNDUP($Q$10*0.05,0))*20-(0.16*$H$10)-(0.64*($H$11-ROUNDUP($H$11*0.05,0)))-(1.28*($H$12-ROUNDUP($H$12*0.05,0)))-(250-ROUNDUP(250*0.01*$T$9,0))</f>
        <v>-33.159999999999997</v>
      </c>
      <c r="I30" s="3">
        <f>($Q$10-ROUNDUP($Q$10*0.05,0))*20-(0.16*($H$10-ROUNDUP($H$10*0.05,0)))-(0.64*$H$11)-(1.28*$H$12)-(250-ROUNDUP(250*0.01*$T$9,0))</f>
        <v>-36.199999999999989</v>
      </c>
      <c r="J30" s="3">
        <f>($Q$10-ROUNDUP($Q$10*0.05,0))*20-(0.16*$H$10)-(0.64*($H$11-ROUNDUP($H$11*0.05,0)))-(1.28*$H$12)-(250-ROUNDUP(250*0.01*$T$9,0))</f>
        <v>-37</v>
      </c>
      <c r="K30" s="3">
        <f>($Q$10-ROUNDUP($Q$10*0.05,0))*20-(0.16*$H$10)-(0.64*$H$11)-(1.28*($H$12-ROUNDUP($H$12*0.05,0)))-(250-ROUNDUP(250*0.01*$T$9,0))</f>
        <v>-36.359999999999985</v>
      </c>
      <c r="L30" s="1"/>
      <c r="M30" s="21" t="s">
        <v>28</v>
      </c>
      <c r="N30" s="19"/>
      <c r="O30" s="3">
        <f>($Q$12-ROUNDUP($Q$12*0.05,0))*10-(0.33*($L$15-ROUNDUP($L$15*0.05,0)))-(0.45*($L$16-ROUNDUP($L$16*0.05,0)))-(0.86*($L$17-ROUNDUP($L$17*0.05,0)))-(400-ROUNDUP(400*0.01*$T$9,0))</f>
        <v>-20.589999999999975</v>
      </c>
      <c r="P30" s="3">
        <f>($Q$12-ROUNDUP($Q$12*0.05,0))*10-(0.33*$L$15)-(0.45*$L$16)-(0.86*$L$17)-(400-ROUNDUP(400*0.01*$T$9,0))</f>
        <v>-38.31</v>
      </c>
      <c r="Q30" s="3">
        <f>($Q$12-ROUNDUP($Q$12*0.05,0))*10-(0.33*($L$15-ROUNDUP($L$15*0.05,0)))-(0.45*($L$16-ROUNDUP($L$16*0.05,0)))-(0.86*$L$17)-(400-ROUNDUP(400*0.01*$T$9,0))</f>
        <v>-24.029999999999973</v>
      </c>
      <c r="R30" s="3">
        <f>($Q$12-ROUNDUP($Q$12*0.05,0))*10-(0.33*($L$15-ROUNDUP($L$15*0.05,0)))-(0.45*$L$16)-(0.86*($L$17-ROUNDUP($L$17*0.05,0)))-(400-ROUNDUP(400*0.01*$T$9,0))</f>
        <v>-24.639999999999986</v>
      </c>
      <c r="S30" s="3">
        <f>($Q$12-ROUNDUP($Q$12*0.05,0))*10-(0.33*$L$15)-(0.45*($L$16-ROUNDUP($L$16*0.05,0)))-(0.86*($L$17-ROUNDUP($L$17*0.05,0)))-(400-ROUNDUP(400*0.01*$T$9,0))</f>
        <v>-30.819999999999993</v>
      </c>
      <c r="T30" s="3">
        <f>($Q$12-ROUNDUP($Q$12*0.05,0))*10-(0.33*($L$15-ROUNDUP($L$15*0.05,0)))-(0.45*$L$16)-(0.86*$L$17)-(400-ROUNDUP(400*0.01*$T$9,0))</f>
        <v>-28.079999999999984</v>
      </c>
      <c r="U30" s="3">
        <f>($Q$12-ROUNDUP($Q$12*0.05,0))*10-(0.33*$L$15)-(0.45*($L$16-ROUNDUP($L$16*0.05,0)))-(0.86*$L$17)-(400-ROUNDUP(400*0.01*$T$9,0))</f>
        <v>-34.259999999999991</v>
      </c>
      <c r="V30" s="3">
        <f>($Q$12-ROUNDUP($Q$12*0.05,0))*10-(0.33*$L$15)-(0.45*$L$16)-(0.86*($L$17-ROUNDUP($L$17*0.05,0)))-(400-ROUNDUP(400*0.01*$T$9,0))</f>
        <v>-34.870000000000005</v>
      </c>
      <c r="X30" s="20" t="s">
        <v>15</v>
      </c>
      <c r="Y30" s="12"/>
      <c r="Z30" s="18">
        <v>666</v>
      </c>
      <c r="AA30" s="19"/>
    </row>
    <row r="31" spans="2:28" ht="16.5" customHeight="1" x14ac:dyDescent="0.25">
      <c r="B31" s="26" t="s">
        <v>24</v>
      </c>
      <c r="C31" s="27"/>
      <c r="D31" s="3">
        <f>($Q$11-ROUNDUP($Q$11*0.05,0))*15-(0.52*($H$10-ROUNDUP($H$10*0.05,0)))-(0.69*($H$11-ROUNDUP($H$11*0.05,0)))-(1.42*($H$12-ROUNDUP($H$12*0.05,0)))-(300-ROUNDUP(300*0.01*$T$9,0))</f>
        <v>10.659999999999968</v>
      </c>
      <c r="E31" s="3">
        <f>($Q$11-ROUNDUP($Q$11*0.05,0))*15-(0.52*$H$10)-(0.69*$H$11)-(1.42*$H$12)-(300-ROUNDUP(300*0.01*$T$9,0))</f>
        <v>-10.05000000000004</v>
      </c>
      <c r="F31" s="3">
        <f>($Q$11-ROUNDUP($Q$11*0.05,0))*15-(0.52*($H$10-ROUNDUP($H$10*0.05,0)))-(0.69*($H$11-ROUNDUP($H$11*0.05,0)))-(1.42*$H$12)-(300-ROUNDUP(300*0.01*$T$9,0))</f>
        <v>6.3999999999999773</v>
      </c>
      <c r="G31" s="3">
        <f>($Q$11-ROUNDUP($Q$11*0.05,0))*15-(0.52*($H$10-ROUNDUP($H$10*0.05,0)))-(0.69*$H$11)-(1.42*($H$12-ROUNDUP($H$12*0.05,0)))-(300-ROUNDUP(300*0.01*$T$9,0))</f>
        <v>7.2099999999999795</v>
      </c>
      <c r="H31" s="3">
        <f>($Q$11-ROUNDUP($Q$11*0.05,0))*15-(0.52*$H$10)-(0.69*($H$11-ROUNDUP($H$11*0.05,0)))-(1.42*($H$12-ROUNDUP($H$12*0.05,0)))-(300-ROUNDUP(300*0.01*$T$9,0))</f>
        <v>-2.3400000000000318</v>
      </c>
      <c r="I31" s="3">
        <f>($Q$11-ROUNDUP($Q$11*0.05,0))*15-(0.52*($H$10-ROUNDUP($H$10*0.05,0)))-(0.69*$H$11)-(1.42*$H$12)-(300-ROUNDUP(300*0.01*$T$9,0))</f>
        <v>2.9499999999999318</v>
      </c>
      <c r="J31" s="3">
        <f>($Q$11-ROUNDUP($Q$11*0.05,0))*15-(0.52*$H$10)-(0.69*($H$11-ROUNDUP($H$11*0.05,0)))-(1.42*$H$12)-(300-ROUNDUP(300*0.01*$T$9,0))</f>
        <v>-6.6000000000000512</v>
      </c>
      <c r="K31" s="3">
        <f>($Q$11-ROUNDUP($Q$11*0.05,0))*15-(0.52*$H$10)-(0.69*$H$11)-(1.42*($H$12-ROUNDUP($H$12*0.05,0)))-(300-ROUNDUP(300*0.01*$T$9,0))</f>
        <v>-5.7900000000000489</v>
      </c>
      <c r="S31" s="1"/>
      <c r="X31" s="30" t="s">
        <v>18</v>
      </c>
      <c r="Y31" s="12"/>
      <c r="Z31" s="18">
        <v>498</v>
      </c>
      <c r="AA31" s="19"/>
    </row>
    <row r="32" spans="2:28" ht="16.5" customHeight="1" x14ac:dyDescent="0.25">
      <c r="B32" s="21" t="s">
        <v>28</v>
      </c>
      <c r="C32" s="19"/>
      <c r="D32" s="3">
        <f>($Q$12-ROUNDUP($Q$12*0.05,0))*10-(0.33*($H$9-ROUNDUP($H$9*0.05,0)))-(0.45*($H$11-ROUNDUP($H$11*0.05,0)))-(0.86*($H$12-ROUNDUP($H$12*0.05,0)))-(400-ROUNDUP(400*0.01*$T$9,0))</f>
        <v>12.250000000000057</v>
      </c>
      <c r="E32" s="3">
        <f>($Q$12-ROUNDUP($Q$12*0.05,0))*10-(0.33*$H$9)-(0.45*$H$11)-(0.86*$H$12)-(400-ROUNDUP(400*0.01*$T$9,0))</f>
        <v>-3.1399999999999864</v>
      </c>
      <c r="F32" s="3">
        <f>($Q$12-ROUNDUP($Q$12*0.05,0))*10-(0.33*($H$9-ROUNDUP($H$9*0.05,0)))-(0.45*($H$11-ROUNDUP($H$11*0.05,0)))-(0.86*$H$12)-(400-ROUNDUP(400*0.01*$T$9,0))</f>
        <v>9.6700000000000728</v>
      </c>
      <c r="G32" s="3">
        <f>($Q$12-ROUNDUP($Q$12*0.05,0))*10-(0.33*($H$9-ROUNDUP($H$9*0.05,0)))-(0.45*$H$11)-(0.86*($H$12-ROUNDUP($H$12*0.05,0)))-(400-ROUNDUP(400*0.01*$T$9,0))</f>
        <v>10.000000000000057</v>
      </c>
      <c r="H32" s="3">
        <f>($Q$12-ROUNDUP($Q$12*0.05,0))*10-(0.33*$H$9)-(0.45*($H$11-ROUNDUP($H$11*0.05,0)))-(0.86*($H$12-ROUNDUP($H$12*0.05,0)))-(400-ROUNDUP(400*0.01*$T$9,0))</f>
        <v>1.6899999999999977</v>
      </c>
      <c r="I32" s="3">
        <f>($Q$12-ROUNDUP($Q$12*0.05,0))*10-(0.33*($H$9-ROUNDUP($H$9*0.05,0)))-(0.45*$H$11)-(0.86*$H$12)-(400-ROUNDUP(400*0.01*$T$9,0))</f>
        <v>7.4200000000000728</v>
      </c>
      <c r="J32" s="3">
        <f>($Q$12-ROUNDUP($Q$12*0.05,0))*10-(0.33*$H$9)-(0.45*($H$11-ROUNDUP($H$11*0.05,0)))-(0.86*$H$12)-(400-ROUNDUP(400*0.01*$T$9,0))</f>
        <v>-0.88999999999998636</v>
      </c>
      <c r="K32" s="3">
        <f>($Q$12-ROUNDUP($Q$12*0.05,0))*10-(0.33*$H$9)-(0.45*$H$11)-(0.86*($H$12-ROUNDUP($H$12*0.05,0)))-(400-ROUNDUP(400*0.01*$T$9,0))</f>
        <v>-0.56000000000000227</v>
      </c>
      <c r="S32" s="1"/>
      <c r="X32" s="33" t="s">
        <v>19</v>
      </c>
      <c r="Y32" s="12"/>
      <c r="Z32" s="18">
        <v>490</v>
      </c>
      <c r="AA32" s="19"/>
    </row>
    <row r="33" spans="2:27" ht="16.5" customHeight="1" x14ac:dyDescent="0.25">
      <c r="B33" s="3"/>
      <c r="C33" s="3"/>
      <c r="D33" s="15" t="s">
        <v>55</v>
      </c>
      <c r="E33" s="14"/>
      <c r="F33" s="14"/>
      <c r="G33" s="14"/>
      <c r="H33" s="14"/>
      <c r="I33" s="14"/>
      <c r="J33" s="14"/>
      <c r="K33" s="12"/>
      <c r="X33" s="28" t="s">
        <v>17</v>
      </c>
      <c r="Y33" s="29"/>
      <c r="Z33" s="18">
        <v>565</v>
      </c>
      <c r="AA33" s="19"/>
    </row>
    <row r="34" spans="2:27" ht="16.5" customHeight="1" x14ac:dyDescent="0.25">
      <c r="B34" s="22" t="s">
        <v>11</v>
      </c>
      <c r="C34" s="12"/>
      <c r="D34" s="9" t="s">
        <v>44</v>
      </c>
      <c r="E34" s="9" t="s">
        <v>45</v>
      </c>
      <c r="F34" s="9" t="s">
        <v>46</v>
      </c>
      <c r="G34" s="9" t="s">
        <v>47</v>
      </c>
      <c r="H34" s="9" t="s">
        <v>48</v>
      </c>
      <c r="I34" s="9" t="s">
        <v>49</v>
      </c>
      <c r="J34" s="9" t="s">
        <v>50</v>
      </c>
      <c r="K34" s="9" t="s">
        <v>51</v>
      </c>
      <c r="X34" s="11" t="s">
        <v>33</v>
      </c>
      <c r="Y34" s="12"/>
      <c r="Z34" s="18">
        <v>639</v>
      </c>
      <c r="AA34" s="19"/>
    </row>
    <row r="35" spans="2:27" ht="16.5" customHeight="1" x14ac:dyDescent="0.25">
      <c r="B35" s="24" t="s">
        <v>16</v>
      </c>
      <c r="C35" s="19"/>
      <c r="D35" s="3">
        <f>($Q$9-ROUNDUP($Q$9*0.05,0))*30-(0.1*($L$10-ROUNDUP($L$10*0.05,0)))-(0.4*($L$11-ROUNDUP($L$11*0.05,0)))-(0.8*($L$12-ROUNDUP($L$12*0.05,0)))-(205-ROUNDUP(205*0.01*$T$9,0))</f>
        <v>-9.9999999999994316E-2</v>
      </c>
      <c r="E35" s="3">
        <f>($Q$9-ROUNDUP($Q$9*0.05,0))*30-(0.1*$L$10)-(0.4*$L$11)-(0.8*$L$12)-(205-ROUNDUP(205*0.01*$T$9,0))</f>
        <v>-7</v>
      </c>
      <c r="F35" s="3">
        <f>($Q$9-ROUNDUP($Q$9*0.05,0))*30-(0.1*($L$10-ROUNDUP($L$10*0.05,0)))-(0.4*($L$11-ROUNDUP($L$11*0.05,0)))-(0.8*$L$12)-(205-ROUNDUP(205*0.01*$T$9,0))</f>
        <v>-2.5</v>
      </c>
      <c r="G35" s="3">
        <f>($Q$9-ROUNDUP($Q$9*0.05,0))*30-(0.1*($L$10-ROUNDUP($L$10*0.05,0)))-(0.4*$L$11)-(0.8*($L$12-ROUNDUP($L$12*0.05,0)))-(205-ROUNDUP(205*0.01*$T$9,0))</f>
        <v>-2.0999999999999943</v>
      </c>
      <c r="H35" s="3">
        <f>($Q$9-ROUNDUP($Q$9*0.05,0))*30-(0.1*$L$10)-(0.4*($L$11-ROUNDUP($L$11*0.05,0)))-(0.8*($L$12-ROUNDUP($L$12*0.05,0)))-(205-ROUNDUP(205*0.01*$T$9,0))</f>
        <v>-2.5999999999999943</v>
      </c>
      <c r="I35" s="3">
        <f>($Q$9-ROUNDUP($Q$9*0.05,0))*30-(0.1*($L$10-ROUNDUP($L$10*0.05,0)))-(0.4*$L$11)-(0.8*$L$12)-(205-ROUNDUP(205*0.01*$T$9,0))</f>
        <v>-4.5</v>
      </c>
      <c r="J35" s="3">
        <f>($Q$9-ROUNDUP($Q$9*0.05,0))*30-(0.1*$L$10)-(0.4*($L$11-ROUNDUP($L$11*0.05,0)))-(0.8*$L$12)-(205-ROUNDUP(205*0.01*$T$9,0))</f>
        <v>-5</v>
      </c>
      <c r="K35" s="3">
        <f>($Q$9-ROUNDUP($Q$9*0.05,0))*30-(0.1*$L$10)-(0.4*$L$11)-(0.8*($L$12-ROUNDUP($L$12*0.05,0)))-(205-ROUNDUP(205*0.01*$T$9,0))</f>
        <v>-4.5999999999999943</v>
      </c>
    </row>
    <row r="36" spans="2:27" ht="16.5" customHeight="1" x14ac:dyDescent="0.25">
      <c r="B36" s="36" t="s">
        <v>20</v>
      </c>
      <c r="C36" s="37"/>
      <c r="D36" s="3">
        <f>($Q$10-ROUNDUP($Q$10*0.05,0))*20-(0.16*($L$10-ROUNDUP($L$10*0.05,0)))-(0.64*($L$11-ROUNDUP($L$11*0.05,0)))-(1.28*($L$12-ROUNDUP($L$12*0.05,0)))-(250-ROUNDUP(250*0.01*$T$9,0))</f>
        <v>-32.359999999999985</v>
      </c>
      <c r="E36" s="3">
        <f>($Q$10-ROUNDUP($Q$10*0.05,0))*20-(0.16*$L$10)-(0.64*$L$11)-(1.28*$L$12)-(250-ROUNDUP(250*0.01*$T$9,0))</f>
        <v>-43.399999999999977</v>
      </c>
      <c r="F36" s="3">
        <f>($Q$10-ROUNDUP($Q$10*0.05,0))*20-(0.16*($L$10-ROUNDUP($L$10*0.05,0)))-(0.64*($L$11-ROUNDUP($L$11*0.05,0)))-(1.28*$L$12)-(250-ROUNDUP(250*0.01*$T$9,0))</f>
        <v>-36.199999999999989</v>
      </c>
      <c r="G36" s="3">
        <f>($Q$10-ROUNDUP($Q$10*0.05,0))*20-(0.16*($L$10-ROUNDUP($L$10*0.05,0)))-(0.64*$L$11)-(1.28*($L$12-ROUNDUP($L$12*0.05,0)))-(250-ROUNDUP(250*0.01*$T$9,0))</f>
        <v>-35.559999999999974</v>
      </c>
      <c r="H36" s="3">
        <f>($Q$10-ROUNDUP($Q$10*0.05,0))*20-(0.16*$L$10)-(0.64*($L$11-ROUNDUP($L$11*0.05,0)))-(1.28*($L$12-ROUNDUP($L$12*0.05,0)))-(250-ROUNDUP(250*0.01*$T$9,0))</f>
        <v>-36.359999999999985</v>
      </c>
      <c r="I36" s="3">
        <f>($Q$10-ROUNDUP($Q$10*0.05,0))*20-(0.16*($L$10-ROUNDUP($L$10*0.05,0)))-(0.64*$L$11)-(1.28*$L$12)-(250-ROUNDUP(250*0.01*$T$9,0))</f>
        <v>-39.399999999999977</v>
      </c>
      <c r="J36" s="3">
        <f>($Q$10-ROUNDUP($Q$10*0.05,0))*20-(0.16*$L$10)-(0.64*($L$11-ROUNDUP($L$11*0.05,0)))-(1.28*$L$12)-(250-ROUNDUP(250*0.01*$T$9,0))</f>
        <v>-40.199999999999989</v>
      </c>
      <c r="K36" s="3">
        <f>($Q$10-ROUNDUP($Q$10*0.05,0))*20-(0.16*$L$10)-(0.64*$L$11)-(1.28*($L$12-ROUNDUP($L$12*0.05,0)))-(250-ROUNDUP(250*0.01*$T$9,0))</f>
        <v>-39.559999999999974</v>
      </c>
      <c r="U36" s="3" t="s">
        <v>119</v>
      </c>
    </row>
    <row r="37" spans="2:27" ht="16.5" customHeight="1" x14ac:dyDescent="0.25">
      <c r="B37" s="26" t="s">
        <v>24</v>
      </c>
      <c r="C37" s="27"/>
      <c r="D37" s="3">
        <f>($Q$11-ROUNDUP($Q$11*0.05,0))*15-(0.52*($L$10-ROUNDUP($L$10*0.05,0)))-(0.69*($L$11-ROUNDUP($L$11*0.05,0)))-(1.42*($L$12-ROUNDUP($L$12*0.05,0)))-(300-ROUNDUP(300*0.01*$T$9,0))</f>
        <v>9.9099999999999682</v>
      </c>
      <c r="E37" s="3">
        <f>($Q$11-ROUNDUP($Q$11*0.05,0))*15-(0.52*$L$10)-(0.69*$L$11)-(1.42*$L$12)-(300-ROUNDUP(300*0.01*$T$9,0))</f>
        <v>-10.800000000000011</v>
      </c>
      <c r="F37" s="3">
        <f>($Q$11-ROUNDUP($Q$11*0.05,0))*15-(0.52*($L$10-ROUNDUP($L$10*0.05,0)))-(0.69*($L$11-ROUNDUP($L$11*0.05,0)))-(1.42*$L$12)-(300-ROUNDUP(300*0.01*$T$9,0))</f>
        <v>5.6499999999999773</v>
      </c>
      <c r="G37" s="3">
        <f>($Q$11-ROUNDUP($Q$11*0.05,0))*15-(0.52*($L$10-ROUNDUP($L$10*0.05,0)))-(0.69*$L$11)-(1.42*($L$12-ROUNDUP($L$12*0.05,0)))-(300-ROUNDUP(300*0.01*$T$9,0))</f>
        <v>6.4599999999999795</v>
      </c>
      <c r="H37" s="3">
        <f>($Q$11-ROUNDUP($Q$11*0.05,0))*15-(0.52*$L$10)-(0.69*($L$11-ROUNDUP($L$11*0.05,0)))-(1.42*($L$12-ROUNDUP($L$12*0.05,0)))-(300-ROUNDUP(300*0.01*$T$9,0))</f>
        <v>-3.0900000000000318</v>
      </c>
      <c r="I37" s="3">
        <f>($Q$11-ROUNDUP($Q$11*0.05,0))*15-(0.52*($L$10-ROUNDUP($L$10*0.05,0)))-(0.69*$L$11)-(1.42*$L$12)-(300-ROUNDUP(300*0.01*$T$9,0))</f>
        <v>2.1999999999999886</v>
      </c>
      <c r="J37" s="3">
        <f>($Q$11-ROUNDUP($Q$11*0.05,0))*15-(0.52*$L$10)-(0.69*($L$11-ROUNDUP($L$11*0.05,0)))-(1.42*$L$12)-(300-ROUNDUP(300*0.01*$T$9,0))</f>
        <v>-7.3500000000000227</v>
      </c>
      <c r="K37" s="3">
        <f>($Q$11-ROUNDUP($Q$11*0.05,0))*15-(0.52*$L$10)-(0.69*$L$11)-(1.42*($L$12-ROUNDUP($L$12*0.05,0)))-(300-ROUNDUP(300*0.01*$T$9,0))</f>
        <v>-6.5400000000000205</v>
      </c>
      <c r="U37" s="9" t="s">
        <v>56</v>
      </c>
      <c r="V37" s="3" t="s">
        <v>57</v>
      </c>
      <c r="W37" s="3">
        <f>52*40</f>
        <v>2080</v>
      </c>
      <c r="Y37" s="9" t="s">
        <v>28</v>
      </c>
      <c r="Z37" s="3" t="s">
        <v>60</v>
      </c>
      <c r="AA37" s="3">
        <f>33*40</f>
        <v>1320</v>
      </c>
    </row>
    <row r="38" spans="2:27" ht="16.5" customHeight="1" x14ac:dyDescent="0.25">
      <c r="B38" s="21" t="s">
        <v>28</v>
      </c>
      <c r="C38" s="19"/>
      <c r="D38" s="3">
        <f>($Q$12-ROUNDUP($Q$12*0.05,0))*10-(0.33*($L$9-ROUNDUP($L$9*0.05,0)))-(0.45*($L$11-ROUNDUP($L$11*0.05,0)))-(0.86*($L$12-ROUNDUP($L$12*0.05,0)))-(400-ROUNDUP(400*0.01*$T$9,0))</f>
        <v>0.26999999999998181</v>
      </c>
      <c r="E38" s="3">
        <f>($Q$12-ROUNDUP($Q$12*0.05,0))*10-(0.33*$L$9)-(0.45*$L$11)-(0.86*$L$12)-(400-ROUNDUP(400*0.01*$T$9,0))</f>
        <v>-15.779999999999973</v>
      </c>
      <c r="F38" s="3">
        <f>($Q$12-ROUNDUP($Q$12*0.05,0))*10-(0.33*($L$9-ROUNDUP($L$9*0.05,0)))-(0.45*($L$11-ROUNDUP($L$11*0.05,0)))-(0.86*$L$12)-(400-ROUNDUP(400*0.01*$T$9,0))</f>
        <v>-2.3100000000000023</v>
      </c>
      <c r="G38" s="3">
        <f>($Q$12-ROUNDUP($Q$12*0.05,0))*10-(0.33*($L$9-ROUNDUP($L$9*0.05,0)))-(0.45*$L$1)-(0.86*($L$12-ROUNDUP($L$12*0.05,0)))-(400-ROUNDUP(400*0.01*$T$9,0))</f>
        <v>43.019999999999982</v>
      </c>
      <c r="H38" s="3">
        <f>($Q$12-ROUNDUP($Q$12*0.05,0))*10-(0.33*$L$9)-(0.45*($L$11-ROUNDUP($L$11*0.05,0)))-(0.86*($L$12-ROUNDUP($L$12*0.05,0)))-(400-ROUNDUP(400*0.01*$T$9,0))</f>
        <v>-10.949999999999989</v>
      </c>
      <c r="I38" s="3">
        <f>($Q$12-ROUNDUP($Q$12*0.05,0))*10-(0.33*($L$9-ROUNDUP($L$9*0.05,0)))-(0.45*$L$11)-(0.86*$L$12)-(400-ROUNDUP(400*0.01*$T$9,0))</f>
        <v>-4.5600000000000023</v>
      </c>
      <c r="J38" s="3">
        <f>($Q$12-ROUNDUP($Q$12*0.05,0))*10-(0.33*$L$9)-(0.45*($L$11-ROUNDUP($L$11*0.05,0)))-(0.86*$L$12)-(400-ROUNDUP(400*0.01*$T$9,0))</f>
        <v>-13.529999999999973</v>
      </c>
      <c r="K38" s="3">
        <f>($Q$12-ROUNDUP($Q$12*0.05,0))*10-(0.33*($L$9-ROUNDUP($L$9*0.05,0)))-(0.45*$L$11)-(0.86*$L$12)-(400-ROUNDUP(400*0.01*$T$9,0))</f>
        <v>-4.5600000000000023</v>
      </c>
      <c r="V38" s="3" t="s">
        <v>58</v>
      </c>
      <c r="W38" s="3">
        <f>69*40</f>
        <v>2760</v>
      </c>
      <c r="Z38" s="3" t="s">
        <v>61</v>
      </c>
      <c r="AA38" s="3">
        <f>45*40</f>
        <v>1800</v>
      </c>
    </row>
    <row r="39" spans="2:27" ht="16.5" customHeight="1" x14ac:dyDescent="0.25">
      <c r="V39" s="3" t="s">
        <v>59</v>
      </c>
      <c r="W39" s="3">
        <f>142*40</f>
        <v>5680</v>
      </c>
      <c r="Z39" s="3" t="s">
        <v>62</v>
      </c>
      <c r="AA39" s="3">
        <f>86*40</f>
        <v>3440</v>
      </c>
    </row>
    <row r="40" spans="2:27" ht="16.5" customHeight="1" x14ac:dyDescent="0.25"/>
    <row r="41" spans="2:27" ht="16.5" customHeight="1" x14ac:dyDescent="0.25"/>
    <row r="42" spans="2:27" ht="16.5" customHeight="1" x14ac:dyDescent="0.25"/>
    <row r="43" spans="2:27" ht="16.5" customHeight="1" x14ac:dyDescent="0.25"/>
    <row r="44" spans="2:27" ht="16.5" customHeight="1" x14ac:dyDescent="0.25"/>
    <row r="45" spans="2:27" ht="16.5" customHeight="1" x14ac:dyDescent="0.25"/>
    <row r="46" spans="2:27" ht="16.5" customHeight="1" x14ac:dyDescent="0.25"/>
    <row r="47" spans="2:27" ht="16.5" customHeight="1" x14ac:dyDescent="0.25"/>
    <row r="48" spans="2:27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37">
    <mergeCell ref="B36:C36"/>
    <mergeCell ref="H8:I8"/>
    <mergeCell ref="J8:K8"/>
    <mergeCell ref="X27:Y27"/>
    <mergeCell ref="J17:K17"/>
    <mergeCell ref="G1:H1"/>
    <mergeCell ref="Z28:AA28"/>
    <mergeCell ref="D14:E14"/>
    <mergeCell ref="L11:M11"/>
    <mergeCell ref="F14:G14"/>
    <mergeCell ref="X22:Y22"/>
    <mergeCell ref="Z30:AA30"/>
    <mergeCell ref="F11:G11"/>
    <mergeCell ref="T9:V9"/>
    <mergeCell ref="O10:P10"/>
    <mergeCell ref="J14:K14"/>
    <mergeCell ref="O28:V28"/>
    <mergeCell ref="Q8:R8"/>
    <mergeCell ref="F12:G12"/>
    <mergeCell ref="O20:V20"/>
    <mergeCell ref="J15:K15"/>
    <mergeCell ref="M22:N22"/>
    <mergeCell ref="M30:N30"/>
    <mergeCell ref="D16:E16"/>
    <mergeCell ref="L8:M8"/>
    <mergeCell ref="D17:E17"/>
    <mergeCell ref="X18:Y18"/>
    <mergeCell ref="O8:P8"/>
    <mergeCell ref="D10:E10"/>
    <mergeCell ref="F10:G10"/>
    <mergeCell ref="T8:V8"/>
    <mergeCell ref="H10:I10"/>
    <mergeCell ref="J10:K10"/>
    <mergeCell ref="H9:I9"/>
    <mergeCell ref="J9:K9"/>
    <mergeCell ref="D8:E8"/>
    <mergeCell ref="F8:G8"/>
    <mergeCell ref="H16:I16"/>
    <mergeCell ref="X17:Y17"/>
    <mergeCell ref="D9:E9"/>
    <mergeCell ref="F9:G9"/>
    <mergeCell ref="B34:C34"/>
    <mergeCell ref="L10:M10"/>
    <mergeCell ref="B28:C28"/>
    <mergeCell ref="B9:C9"/>
    <mergeCell ref="M26:N26"/>
    <mergeCell ref="L9:M9"/>
    <mergeCell ref="D12:E12"/>
    <mergeCell ref="B30:C30"/>
    <mergeCell ref="Z20:AA20"/>
    <mergeCell ref="M29:N29"/>
    <mergeCell ref="Z34:AA34"/>
    <mergeCell ref="B23:C23"/>
    <mergeCell ref="H15:I15"/>
    <mergeCell ref="Z15:AA15"/>
    <mergeCell ref="B32:C32"/>
    <mergeCell ref="Z24:AA24"/>
    <mergeCell ref="D20:K20"/>
    <mergeCell ref="B16:C16"/>
    <mergeCell ref="B25:C25"/>
    <mergeCell ref="Q12:R12"/>
    <mergeCell ref="L16:M16"/>
    <mergeCell ref="Z27:AA27"/>
    <mergeCell ref="X24:Y24"/>
    <mergeCell ref="X26:Y26"/>
    <mergeCell ref="B8:C8"/>
    <mergeCell ref="X33:Y33"/>
    <mergeCell ref="B10:C10"/>
    <mergeCell ref="Z33:AA33"/>
    <mergeCell ref="D33:K33"/>
    <mergeCell ref="X31:Y31"/>
    <mergeCell ref="H14:I14"/>
    <mergeCell ref="L15:M15"/>
    <mergeCell ref="Z31:AA31"/>
    <mergeCell ref="X21:Y21"/>
    <mergeCell ref="X32:Y32"/>
    <mergeCell ref="O9:P9"/>
    <mergeCell ref="X23:Y23"/>
    <mergeCell ref="Z32:AA32"/>
    <mergeCell ref="Z26:AA26"/>
    <mergeCell ref="X16:Y16"/>
    <mergeCell ref="Z16:AA16"/>
    <mergeCell ref="Q9:R9"/>
    <mergeCell ref="Z18:AA18"/>
    <mergeCell ref="Q10:R10"/>
    <mergeCell ref="Z19:AA19"/>
    <mergeCell ref="B24:C24"/>
    <mergeCell ref="O11:P11"/>
    <mergeCell ref="Q11:R11"/>
    <mergeCell ref="Z25:AA25"/>
    <mergeCell ref="B11:C11"/>
    <mergeCell ref="D11:E11"/>
    <mergeCell ref="B19:V19"/>
    <mergeCell ref="L17:M17"/>
    <mergeCell ref="F16:G16"/>
    <mergeCell ref="B22:C22"/>
    <mergeCell ref="B31:C31"/>
    <mergeCell ref="B12:C12"/>
    <mergeCell ref="B21:C21"/>
    <mergeCell ref="L12:M12"/>
    <mergeCell ref="F15:G15"/>
    <mergeCell ref="H11:I11"/>
    <mergeCell ref="J11:K11"/>
    <mergeCell ref="H12:I12"/>
    <mergeCell ref="J12:K12"/>
    <mergeCell ref="B15:C15"/>
    <mergeCell ref="D15:E15"/>
    <mergeCell ref="B17:C17"/>
    <mergeCell ref="Z17:AA17"/>
    <mergeCell ref="J16:K16"/>
    <mergeCell ref="O12:P12"/>
    <mergeCell ref="X25:Y25"/>
    <mergeCell ref="O24:V24"/>
    <mergeCell ref="X34:Y34"/>
    <mergeCell ref="X28:Y28"/>
    <mergeCell ref="B14:C14"/>
    <mergeCell ref="D27:K27"/>
    <mergeCell ref="L14:M14"/>
    <mergeCell ref="Z21:AA21"/>
    <mergeCell ref="X30:Y30"/>
    <mergeCell ref="B38:C38"/>
    <mergeCell ref="M25:N25"/>
    <mergeCell ref="X20:Y20"/>
    <mergeCell ref="X15:Y15"/>
    <mergeCell ref="X29:Y29"/>
    <mergeCell ref="Z29:AA29"/>
    <mergeCell ref="Z23:AA23"/>
    <mergeCell ref="B35:C35"/>
    <mergeCell ref="X19:Y19"/>
    <mergeCell ref="Z22:AA22"/>
    <mergeCell ref="F17:G17"/>
    <mergeCell ref="H17:I17"/>
    <mergeCell ref="M21:N21"/>
    <mergeCell ref="B29:C29"/>
    <mergeCell ref="B37:C37"/>
    <mergeCell ref="X14:Y14"/>
    <mergeCell ref="Z14:AA14"/>
  </mergeCells>
  <phoneticPr fontId="5" type="noConversion"/>
  <conditionalFormatting sqref="D24 D31 D37">
    <cfRule type="top10" dxfId="3" priority="3" rank="1"/>
  </conditionalFormatting>
  <conditionalFormatting sqref="D25 D32 D38 O22 O26 O30">
    <cfRule type="top10" dxfId="2" priority="4" rank="1"/>
  </conditionalFormatting>
  <conditionalFormatting sqref="E24 E31 E37">
    <cfRule type="top10" dxfId="1" priority="2" rank="1"/>
  </conditionalFormatting>
  <conditionalFormatting sqref="E25 E32 E38 P22 P26 P30">
    <cfRule type="top10" dxfId="0" priority="1" rank="1"/>
  </conditionalFormatting>
  <pageMargins left="0.69972223043441772" right="0.69972223043441772" top="0.75" bottom="0.7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183"/>
  <sheetViews>
    <sheetView topLeftCell="A88" zoomScale="85" zoomScaleNormal="85" workbookViewId="0">
      <selection activeCell="G111" sqref="G111"/>
    </sheetView>
  </sheetViews>
  <sheetFormatPr defaultRowHeight="15.75" x14ac:dyDescent="0.25"/>
  <cols>
    <col min="1" max="15" width="9.140625" style="5" customWidth="1"/>
    <col min="16" max="16384" width="9.140625" style="5"/>
  </cols>
  <sheetData>
    <row r="1" spans="1:33" x14ac:dyDescent="0.25">
      <c r="A1" s="5" t="s">
        <v>63</v>
      </c>
    </row>
    <row r="2" spans="1:33" x14ac:dyDescent="0.25">
      <c r="B2" s="6" t="s">
        <v>64</v>
      </c>
      <c r="C2" s="6" t="s">
        <v>65</v>
      </c>
      <c r="D2" s="6"/>
      <c r="E2" s="6" t="s">
        <v>64</v>
      </c>
      <c r="F2" s="6" t="s">
        <v>65</v>
      </c>
      <c r="H2" s="6" t="s">
        <v>64</v>
      </c>
      <c r="I2" s="6" t="s">
        <v>66</v>
      </c>
      <c r="K2" s="6" t="s">
        <v>64</v>
      </c>
      <c r="L2" s="6" t="s">
        <v>67</v>
      </c>
      <c r="N2" s="6" t="s">
        <v>64</v>
      </c>
      <c r="O2" s="6" t="s">
        <v>67</v>
      </c>
      <c r="Q2" s="6" t="s">
        <v>64</v>
      </c>
      <c r="R2" s="6" t="s">
        <v>68</v>
      </c>
      <c r="T2" s="6" t="s">
        <v>64</v>
      </c>
      <c r="U2" s="6" t="s">
        <v>68</v>
      </c>
      <c r="W2" s="6" t="s">
        <v>64</v>
      </c>
      <c r="X2" s="6" t="s">
        <v>69</v>
      </c>
      <c r="Z2" s="6" t="s">
        <v>64</v>
      </c>
      <c r="AA2" s="6" t="s">
        <v>69</v>
      </c>
      <c r="AC2" s="6" t="s">
        <v>64</v>
      </c>
      <c r="AD2" s="6" t="s">
        <v>70</v>
      </c>
      <c r="AF2" s="6" t="s">
        <v>64</v>
      </c>
      <c r="AG2" s="6" t="s">
        <v>70</v>
      </c>
    </row>
    <row r="3" spans="1:33" x14ac:dyDescent="0.25">
      <c r="B3" s="6" t="s">
        <v>71</v>
      </c>
      <c r="C3" s="6" t="s">
        <v>56</v>
      </c>
      <c r="D3" s="6"/>
      <c r="E3" s="6" t="s">
        <v>71</v>
      </c>
      <c r="F3" s="7" t="s">
        <v>56</v>
      </c>
      <c r="H3" s="6" t="s">
        <v>71</v>
      </c>
      <c r="I3" s="7" t="s">
        <v>56</v>
      </c>
      <c r="K3" s="6" t="s">
        <v>71</v>
      </c>
      <c r="L3" s="7" t="s">
        <v>56</v>
      </c>
      <c r="N3" s="6" t="s">
        <v>71</v>
      </c>
      <c r="O3" s="7" t="s">
        <v>56</v>
      </c>
      <c r="Q3" s="6" t="s">
        <v>71</v>
      </c>
      <c r="R3" s="7" t="s">
        <v>28</v>
      </c>
      <c r="T3" s="6" t="s">
        <v>71</v>
      </c>
      <c r="U3" s="7" t="s">
        <v>56</v>
      </c>
      <c r="W3" s="6" t="s">
        <v>71</v>
      </c>
      <c r="X3" s="7" t="s">
        <v>28</v>
      </c>
      <c r="Z3" s="6" t="s">
        <v>71</v>
      </c>
      <c r="AA3" s="7" t="s">
        <v>56</v>
      </c>
      <c r="AC3" s="6" t="s">
        <v>71</v>
      </c>
      <c r="AD3" s="7" t="s">
        <v>28</v>
      </c>
      <c r="AF3" s="6" t="s">
        <v>71</v>
      </c>
      <c r="AG3" s="7" t="s">
        <v>28</v>
      </c>
    </row>
    <row r="4" spans="1:33" x14ac:dyDescent="0.25">
      <c r="B4" s="6" t="s">
        <v>72</v>
      </c>
      <c r="C4" s="7">
        <v>8670</v>
      </c>
      <c r="D4" s="6"/>
      <c r="E4" s="7" t="s">
        <v>72</v>
      </c>
      <c r="F4" s="7">
        <v>8736</v>
      </c>
      <c r="H4" s="7" t="s">
        <v>72</v>
      </c>
      <c r="I4" s="8">
        <v>9337</v>
      </c>
      <c r="K4" s="7" t="s">
        <v>72</v>
      </c>
      <c r="L4" s="8">
        <v>10113</v>
      </c>
      <c r="N4" s="7" t="s">
        <v>72</v>
      </c>
      <c r="O4" s="8">
        <v>10479</v>
      </c>
      <c r="Q4" s="7" t="s">
        <v>72</v>
      </c>
      <c r="R4" s="8">
        <v>4680</v>
      </c>
      <c r="T4" s="7" t="s">
        <v>72</v>
      </c>
      <c r="U4" s="8">
        <v>7980</v>
      </c>
      <c r="W4" s="7" t="s">
        <v>72</v>
      </c>
      <c r="X4" s="8">
        <f>364*20</f>
        <v>7280</v>
      </c>
      <c r="Z4" s="7" t="s">
        <v>72</v>
      </c>
      <c r="AA4" s="8">
        <f>2730*2</f>
        <v>5460</v>
      </c>
      <c r="AC4" s="7" t="s">
        <v>72</v>
      </c>
      <c r="AD4" s="8">
        <v>8085</v>
      </c>
      <c r="AE4" s="6"/>
      <c r="AF4" s="7" t="s">
        <v>72</v>
      </c>
      <c r="AG4" s="8">
        <v>1865</v>
      </c>
    </row>
    <row r="5" spans="1:33" x14ac:dyDescent="0.25">
      <c r="B5" s="7"/>
      <c r="C5" s="7">
        <v>1652</v>
      </c>
      <c r="E5" s="7"/>
      <c r="F5" s="7">
        <v>1782</v>
      </c>
      <c r="H5" s="7"/>
      <c r="I5" s="8">
        <v>1820</v>
      </c>
      <c r="K5" s="7"/>
      <c r="L5" s="8">
        <v>10920</v>
      </c>
      <c r="N5" s="7"/>
      <c r="O5" s="8">
        <v>10920</v>
      </c>
      <c r="Q5" s="7"/>
      <c r="R5" s="8">
        <v>972</v>
      </c>
      <c r="T5" s="7"/>
      <c r="U5" s="8">
        <v>1792</v>
      </c>
      <c r="W5" s="7"/>
      <c r="X5" s="8"/>
      <c r="Z5" s="7"/>
      <c r="AA5" s="8">
        <v>5012</v>
      </c>
      <c r="AC5" s="7"/>
      <c r="AD5" s="8">
        <v>1115</v>
      </c>
      <c r="AF5" s="7"/>
      <c r="AG5" s="8">
        <v>1603</v>
      </c>
    </row>
    <row r="6" spans="1:33" x14ac:dyDescent="0.25">
      <c r="B6" s="7"/>
      <c r="C6" s="7">
        <v>1649</v>
      </c>
      <c r="E6" s="7"/>
      <c r="F6" s="7">
        <v>1995</v>
      </c>
      <c r="H6" s="7"/>
      <c r="I6" s="8">
        <v>1878</v>
      </c>
      <c r="K6" s="7"/>
      <c r="L6" s="8"/>
      <c r="N6" s="7"/>
      <c r="O6" s="8"/>
      <c r="Q6" s="7"/>
      <c r="R6" s="8">
        <v>945</v>
      </c>
      <c r="T6" s="7"/>
      <c r="U6" s="8">
        <v>1792</v>
      </c>
      <c r="W6" s="7"/>
      <c r="X6" s="8"/>
      <c r="Z6" s="7"/>
      <c r="AA6" s="8"/>
      <c r="AC6" s="7"/>
      <c r="AD6" s="8">
        <v>870</v>
      </c>
      <c r="AF6" s="7"/>
      <c r="AG6" s="8">
        <v>1020</v>
      </c>
    </row>
    <row r="7" spans="1:33" x14ac:dyDescent="0.25">
      <c r="B7" s="7"/>
      <c r="C7" s="7">
        <f>2730*4</f>
        <v>10920</v>
      </c>
      <c r="E7" s="7"/>
      <c r="F7" s="7">
        <f>2730*4</f>
        <v>10920</v>
      </c>
      <c r="H7" s="7"/>
      <c r="I7" s="7">
        <f>2730*4</f>
        <v>10920</v>
      </c>
      <c r="K7" s="7"/>
      <c r="L7" s="7"/>
      <c r="N7" s="7"/>
      <c r="O7" s="7"/>
      <c r="Q7" s="7"/>
      <c r="R7" s="7">
        <f>3640*4</f>
        <v>14560</v>
      </c>
      <c r="T7" s="7"/>
      <c r="U7" s="7">
        <f>2730*4</f>
        <v>10920</v>
      </c>
      <c r="W7" s="7"/>
      <c r="X7" s="7"/>
      <c r="Z7" s="7"/>
      <c r="AA7" s="7"/>
      <c r="AC7" s="7"/>
      <c r="AD7" s="7">
        <f>3640*4</f>
        <v>14560</v>
      </c>
      <c r="AF7" s="7"/>
      <c r="AG7" s="7">
        <f>3640*4</f>
        <v>14560</v>
      </c>
    </row>
    <row r="8" spans="1:33" x14ac:dyDescent="0.25">
      <c r="B8" s="7"/>
      <c r="E8" s="7"/>
      <c r="H8" s="7"/>
      <c r="I8" s="7"/>
      <c r="K8" s="7"/>
      <c r="L8" s="7"/>
      <c r="N8" s="7"/>
      <c r="O8" s="7"/>
      <c r="Q8" s="7"/>
      <c r="R8" s="7"/>
      <c r="T8" s="7"/>
      <c r="U8" s="7"/>
      <c r="W8" s="7"/>
      <c r="X8" s="7"/>
      <c r="Z8" s="7"/>
      <c r="AA8" s="7"/>
      <c r="AC8" s="7"/>
      <c r="AD8" s="7"/>
      <c r="AF8" s="7"/>
      <c r="AG8" s="7"/>
    </row>
    <row r="9" spans="1:33" x14ac:dyDescent="0.25">
      <c r="B9" s="7"/>
      <c r="C9" s="7"/>
      <c r="E9" s="7"/>
      <c r="F9" s="7"/>
      <c r="H9" s="7"/>
      <c r="I9" s="7"/>
      <c r="K9" s="7"/>
      <c r="L9" s="7"/>
      <c r="N9" s="7"/>
      <c r="O9" s="7"/>
      <c r="Q9" s="7">
        <v>11</v>
      </c>
      <c r="R9" s="7"/>
      <c r="T9" s="7"/>
      <c r="U9" s="7"/>
      <c r="W9" s="7"/>
      <c r="X9" s="7"/>
      <c r="Z9" s="7"/>
      <c r="AA9" s="7"/>
      <c r="AC9" s="7"/>
      <c r="AD9" s="7"/>
      <c r="AF9" s="7"/>
      <c r="AG9" s="7"/>
    </row>
    <row r="10" spans="1:33" x14ac:dyDescent="0.25">
      <c r="B10" s="7"/>
      <c r="C10" s="7"/>
      <c r="E10" s="7"/>
      <c r="F10" s="7"/>
      <c r="H10" s="7"/>
      <c r="I10" s="7"/>
      <c r="K10" s="7"/>
      <c r="L10" s="7"/>
      <c r="N10" s="7"/>
      <c r="O10" s="7"/>
      <c r="Q10" s="7">
        <v>20</v>
      </c>
      <c r="R10" s="7"/>
      <c r="T10" s="7"/>
      <c r="U10" s="7"/>
      <c r="W10" s="7"/>
      <c r="X10" s="7"/>
      <c r="Z10" s="7"/>
      <c r="AA10" s="7"/>
      <c r="AC10" s="7"/>
      <c r="AD10" s="7"/>
      <c r="AF10" s="7"/>
      <c r="AG10" s="7"/>
    </row>
    <row r="11" spans="1:33" x14ac:dyDescent="0.25">
      <c r="B11" s="7"/>
      <c r="C11" s="7"/>
      <c r="E11" s="7"/>
      <c r="F11" s="7"/>
      <c r="H11" s="7"/>
      <c r="I11" s="7"/>
      <c r="K11" s="7"/>
      <c r="L11" s="7"/>
      <c r="N11" s="7"/>
      <c r="O11" s="7"/>
      <c r="Q11" s="7">
        <v>49</v>
      </c>
      <c r="R11" s="7"/>
      <c r="T11" s="7"/>
      <c r="U11" s="7"/>
      <c r="W11" s="7"/>
      <c r="X11" s="7"/>
      <c r="Z11" s="7"/>
      <c r="AA11" s="7"/>
      <c r="AC11" s="7"/>
      <c r="AD11" s="7"/>
      <c r="AF11" s="7"/>
      <c r="AG11" s="7"/>
    </row>
    <row r="12" spans="1:33" x14ac:dyDescent="0.25">
      <c r="B12" s="7"/>
      <c r="C12" s="7"/>
      <c r="E12" s="7"/>
      <c r="F12" s="7"/>
      <c r="H12" s="7"/>
      <c r="I12" s="7"/>
      <c r="K12" s="7"/>
      <c r="L12" s="7"/>
      <c r="N12" s="7"/>
      <c r="O12" s="7"/>
      <c r="Q12" s="7">
        <v>65</v>
      </c>
      <c r="R12" s="7"/>
      <c r="T12" s="7"/>
      <c r="U12" s="7"/>
      <c r="W12" s="7"/>
      <c r="X12" s="7"/>
      <c r="Z12" s="7"/>
      <c r="AA12" s="7"/>
      <c r="AC12" s="7"/>
      <c r="AD12" s="7"/>
      <c r="AF12" s="7"/>
      <c r="AG12" s="7"/>
    </row>
    <row r="13" spans="1:33" x14ac:dyDescent="0.25">
      <c r="B13" s="7"/>
      <c r="C13" s="7"/>
      <c r="E13" s="7"/>
      <c r="F13" s="7"/>
      <c r="H13" s="7"/>
      <c r="I13" s="7"/>
      <c r="K13" s="7"/>
      <c r="L13" s="7"/>
      <c r="N13" s="7"/>
      <c r="O13" s="7"/>
      <c r="Q13" s="7"/>
      <c r="R13" s="7"/>
      <c r="T13" s="7"/>
      <c r="U13" s="7"/>
      <c r="W13" s="7"/>
      <c r="X13" s="7"/>
      <c r="Z13" s="7"/>
      <c r="AA13" s="7"/>
      <c r="AC13" s="7"/>
      <c r="AD13" s="7"/>
      <c r="AF13" s="7"/>
      <c r="AG13" s="7"/>
    </row>
    <row r="14" spans="1:33" x14ac:dyDescent="0.25">
      <c r="B14" s="7" t="s">
        <v>73</v>
      </c>
      <c r="C14" s="7">
        <f>C4+C5+C6+C7</f>
        <v>22891</v>
      </c>
      <c r="E14" s="7" t="s">
        <v>73</v>
      </c>
      <c r="F14" s="7">
        <f>F4+F5+F6+F7</f>
        <v>23433</v>
      </c>
      <c r="H14" s="7" t="s">
        <v>73</v>
      </c>
      <c r="I14" s="7">
        <f>I4+I5+I6+I7</f>
        <v>23955</v>
      </c>
      <c r="K14" s="7" t="s">
        <v>73</v>
      </c>
      <c r="L14" s="7">
        <f>L4+L5+L6+L7</f>
        <v>21033</v>
      </c>
      <c r="N14" s="7" t="s">
        <v>73</v>
      </c>
      <c r="O14" s="7">
        <f>O4+O5+O6+O7</f>
        <v>21399</v>
      </c>
      <c r="Q14" s="7" t="s">
        <v>73</v>
      </c>
      <c r="R14" s="7">
        <f>R4+R5+R6+R7</f>
        <v>21157</v>
      </c>
      <c r="T14" s="7" t="s">
        <v>73</v>
      </c>
      <c r="U14" s="7">
        <f>U4+U5+U6+U7</f>
        <v>22484</v>
      </c>
      <c r="W14" s="7" t="s">
        <v>73</v>
      </c>
      <c r="X14" s="7">
        <f>X4+X5+X6+X7</f>
        <v>7280</v>
      </c>
      <c r="Z14" s="7">
        <v>43</v>
      </c>
      <c r="AA14" s="7">
        <f>AA4+AA5+AA6+AA7</f>
        <v>10472</v>
      </c>
      <c r="AC14" s="7" t="s">
        <v>73</v>
      </c>
      <c r="AD14" s="7">
        <f>AD4+AD5+AD6+AD7</f>
        <v>24630</v>
      </c>
      <c r="AF14" s="7" t="s">
        <v>73</v>
      </c>
      <c r="AG14" s="7">
        <f>AG4+AG5+AG6+AG7</f>
        <v>19048</v>
      </c>
    </row>
    <row r="15" spans="1:33" x14ac:dyDescent="0.25">
      <c r="B15" s="7" t="s">
        <v>74</v>
      </c>
      <c r="C15" s="7"/>
      <c r="E15" s="7" t="s">
        <v>74</v>
      </c>
      <c r="F15" s="7">
        <f>46*600</f>
        <v>27600</v>
      </c>
      <c r="H15" s="7" t="s">
        <v>74</v>
      </c>
      <c r="I15" s="7">
        <f>42*600</f>
        <v>25200</v>
      </c>
      <c r="K15" s="7" t="s">
        <v>74</v>
      </c>
      <c r="L15" s="7">
        <f>43*600</f>
        <v>25800</v>
      </c>
      <c r="N15" s="7" t="s">
        <v>74</v>
      </c>
      <c r="O15" s="7">
        <f>43*600</f>
        <v>25800</v>
      </c>
      <c r="Q15" s="7" t="s">
        <v>74</v>
      </c>
      <c r="R15" s="7">
        <f>57*400</f>
        <v>22800</v>
      </c>
      <c r="T15" s="7" t="s">
        <v>74</v>
      </c>
      <c r="U15" s="7">
        <f>42*600</f>
        <v>25200</v>
      </c>
      <c r="W15" s="7" t="s">
        <v>74</v>
      </c>
      <c r="X15" s="7">
        <f>200*56</f>
        <v>11200</v>
      </c>
      <c r="Z15" s="7">
        <v>45</v>
      </c>
      <c r="AA15" s="7">
        <f>39*300</f>
        <v>11700</v>
      </c>
      <c r="AC15" s="7" t="s">
        <v>74</v>
      </c>
      <c r="AD15" s="7">
        <f>400*56</f>
        <v>22400</v>
      </c>
      <c r="AF15" s="7" t="s">
        <v>74</v>
      </c>
      <c r="AG15" s="7">
        <f>400*57</f>
        <v>22800</v>
      </c>
    </row>
    <row r="16" spans="1:33" x14ac:dyDescent="0.25">
      <c r="B16" s="7" t="s">
        <v>75</v>
      </c>
      <c r="C16" s="7">
        <v>26220</v>
      </c>
      <c r="E16" s="7" t="s">
        <v>75</v>
      </c>
      <c r="F16" s="7">
        <f>42*420</f>
        <v>17640</v>
      </c>
      <c r="H16" s="7" t="s">
        <v>75</v>
      </c>
      <c r="I16" s="7">
        <f>615*44</f>
        <v>27060</v>
      </c>
      <c r="K16" s="7" t="s">
        <v>75</v>
      </c>
      <c r="L16" s="7">
        <f>43*525</f>
        <v>22575</v>
      </c>
      <c r="N16" s="7" t="s">
        <v>75</v>
      </c>
      <c r="O16" s="7">
        <f>43*690</f>
        <v>29670</v>
      </c>
      <c r="Q16" s="7" t="s">
        <v>75</v>
      </c>
      <c r="R16" s="7">
        <v>25080</v>
      </c>
      <c r="T16" s="7" t="s">
        <v>75</v>
      </c>
      <c r="U16" s="7">
        <f>41*660</f>
        <v>27060</v>
      </c>
      <c r="W16" s="7" t="s">
        <v>75</v>
      </c>
      <c r="X16" s="7">
        <f>220*56</f>
        <v>12320</v>
      </c>
      <c r="Z16" s="7">
        <v>59</v>
      </c>
      <c r="AA16" s="7">
        <f>39*345</f>
        <v>13455</v>
      </c>
      <c r="AC16" s="7" t="s">
        <v>75</v>
      </c>
      <c r="AD16" s="7">
        <f>26400-1420</f>
        <v>24980</v>
      </c>
      <c r="AF16" s="7" t="s">
        <v>75</v>
      </c>
      <c r="AG16" s="7">
        <f>56*410</f>
        <v>22960</v>
      </c>
    </row>
    <row r="17" spans="2:33" x14ac:dyDescent="0.25">
      <c r="B17" s="7"/>
      <c r="C17" s="7">
        <f>3675-225</f>
        <v>3450</v>
      </c>
      <c r="E17" s="7"/>
      <c r="F17" s="7">
        <f>1935-129</f>
        <v>1806</v>
      </c>
      <c r="H17" s="7"/>
      <c r="I17" s="7"/>
      <c r="K17" s="7"/>
      <c r="L17" s="7">
        <v>5160</v>
      </c>
      <c r="N17" s="7"/>
      <c r="O17" s="7"/>
      <c r="Q17" s="7"/>
      <c r="R17" s="7"/>
      <c r="T17" s="7"/>
      <c r="U17" s="7"/>
      <c r="W17" s="7"/>
      <c r="X17" s="7"/>
      <c r="Z17" s="7">
        <v>43</v>
      </c>
      <c r="AA17" s="7"/>
      <c r="AC17" s="7"/>
      <c r="AD17" s="7"/>
      <c r="AF17" s="7"/>
      <c r="AG17" s="7"/>
    </row>
    <row r="18" spans="2:33" x14ac:dyDescent="0.25">
      <c r="B18" s="7"/>
      <c r="C18" s="7"/>
      <c r="E18" s="7"/>
      <c r="F18" s="5">
        <f>765-51</f>
        <v>714</v>
      </c>
      <c r="H18" s="7"/>
      <c r="K18" s="7"/>
      <c r="N18" s="7"/>
      <c r="Q18" s="7"/>
      <c r="T18" s="7"/>
      <c r="W18" s="7"/>
      <c r="Z18" s="7">
        <v>47</v>
      </c>
      <c r="AC18" s="7"/>
      <c r="AF18" s="7"/>
    </row>
    <row r="19" spans="2:33" x14ac:dyDescent="0.25">
      <c r="B19" s="7"/>
      <c r="C19" s="7"/>
      <c r="E19" s="7"/>
      <c r="F19" s="7">
        <f>6750-450</f>
        <v>6300</v>
      </c>
      <c r="H19" s="7"/>
      <c r="I19" s="7"/>
      <c r="K19" s="7"/>
      <c r="L19" s="7"/>
      <c r="N19" s="7"/>
      <c r="O19" s="7"/>
      <c r="Q19" s="7"/>
      <c r="R19" s="7"/>
      <c r="T19" s="7"/>
      <c r="U19" s="7"/>
      <c r="W19" s="7"/>
      <c r="X19" s="7"/>
      <c r="Z19" s="7">
        <v>46</v>
      </c>
      <c r="AA19" s="7"/>
      <c r="AC19" s="7"/>
      <c r="AD19" s="7"/>
      <c r="AF19" s="7"/>
      <c r="AG19" s="7"/>
    </row>
    <row r="20" spans="2:33" x14ac:dyDescent="0.25">
      <c r="B20" s="7" t="s">
        <v>76</v>
      </c>
      <c r="C20" s="7">
        <f>C16+C17+C18+C19-C14</f>
        <v>6779</v>
      </c>
      <c r="E20" s="7" t="s">
        <v>76</v>
      </c>
      <c r="F20" s="7">
        <f>F16+F17+F18+F19-F14</f>
        <v>3027</v>
      </c>
      <c r="H20" s="7" t="s">
        <v>76</v>
      </c>
      <c r="I20" s="7">
        <f>I16+I17+I18+I19-I14</f>
        <v>3105</v>
      </c>
      <c r="K20" s="7" t="s">
        <v>76</v>
      </c>
      <c r="L20" s="7">
        <f>L16+L17+L18+L19-L14</f>
        <v>6702</v>
      </c>
      <c r="N20" s="7" t="s">
        <v>76</v>
      </c>
      <c r="O20" s="7">
        <f>O16+O17+O18+O19-O14</f>
        <v>8271</v>
      </c>
      <c r="Q20" s="7" t="s">
        <v>76</v>
      </c>
      <c r="R20" s="7">
        <f>R16+R17+R18+R19-R14</f>
        <v>3923</v>
      </c>
      <c r="T20" s="7" t="s">
        <v>76</v>
      </c>
      <c r="U20" s="7">
        <f>U16+U17+U18+U19-U14</f>
        <v>4576</v>
      </c>
      <c r="W20" s="7" t="s">
        <v>76</v>
      </c>
      <c r="X20" s="7">
        <f>X16+X17+X18+X19-X14</f>
        <v>5040</v>
      </c>
      <c r="Z20" s="7">
        <v>153</v>
      </c>
      <c r="AA20" s="7">
        <f>AA16+AA17+AA18+AA19-AA14</f>
        <v>2983</v>
      </c>
      <c r="AC20" s="7" t="s">
        <v>76</v>
      </c>
      <c r="AD20" s="7">
        <f>AD16+AD17+AD18+AD19-AD14</f>
        <v>350</v>
      </c>
      <c r="AF20" s="7" t="s">
        <v>76</v>
      </c>
      <c r="AG20" s="7">
        <f>AG16+AG17+AG18+AG19-AG14</f>
        <v>3912</v>
      </c>
    </row>
    <row r="21" spans="2:33" x14ac:dyDescent="0.25">
      <c r="Z21">
        <v>88</v>
      </c>
    </row>
    <row r="22" spans="2:33" x14ac:dyDescent="0.25">
      <c r="B22" s="5" t="s">
        <v>77</v>
      </c>
      <c r="D22" s="5">
        <f>C20+F20+I20+L20+O20+R20+U20+X20+AA20+AD20+AG20</f>
        <v>48668</v>
      </c>
      <c r="Z22">
        <v>86</v>
      </c>
    </row>
    <row r="23" spans="2:33" x14ac:dyDescent="0.25">
      <c r="Z23">
        <v>89</v>
      </c>
    </row>
    <row r="24" spans="2:33" x14ac:dyDescent="0.25">
      <c r="Z24">
        <v>92</v>
      </c>
    </row>
    <row r="25" spans="2:33" x14ac:dyDescent="0.25">
      <c r="B25" s="6" t="s">
        <v>64</v>
      </c>
      <c r="C25" s="6" t="s">
        <v>78</v>
      </c>
      <c r="E25" s="6" t="s">
        <v>64</v>
      </c>
      <c r="F25" s="6" t="s">
        <v>78</v>
      </c>
      <c r="H25" s="6" t="s">
        <v>64</v>
      </c>
      <c r="I25" s="6" t="s">
        <v>79</v>
      </c>
      <c r="K25" s="6" t="s">
        <v>64</v>
      </c>
      <c r="L25" s="6" t="s">
        <v>80</v>
      </c>
      <c r="N25" s="6" t="s">
        <v>64</v>
      </c>
      <c r="O25" s="6" t="s">
        <v>80</v>
      </c>
      <c r="Q25" s="6" t="s">
        <v>64</v>
      </c>
      <c r="R25" s="6" t="s">
        <v>81</v>
      </c>
      <c r="T25" s="6" t="s">
        <v>64</v>
      </c>
      <c r="U25" s="6" t="s">
        <v>81</v>
      </c>
      <c r="W25" s="6" t="s">
        <v>64</v>
      </c>
      <c r="X25" s="6" t="s">
        <v>82</v>
      </c>
      <c r="Z25" s="6">
        <v>95</v>
      </c>
      <c r="AA25" s="6" t="s">
        <v>82</v>
      </c>
      <c r="AC25" s="6" t="s">
        <v>64</v>
      </c>
      <c r="AD25" s="6" t="s">
        <v>82</v>
      </c>
    </row>
    <row r="26" spans="2:33" x14ac:dyDescent="0.25">
      <c r="B26" s="6" t="s">
        <v>71</v>
      </c>
      <c r="C26" s="6" t="s">
        <v>28</v>
      </c>
      <c r="E26" s="6" t="s">
        <v>71</v>
      </c>
      <c r="F26" s="6" t="s">
        <v>28</v>
      </c>
      <c r="H26" s="6" t="s">
        <v>71</v>
      </c>
      <c r="I26" s="6" t="s">
        <v>56</v>
      </c>
      <c r="K26" s="6" t="s">
        <v>71</v>
      </c>
      <c r="L26" s="6" t="s">
        <v>28</v>
      </c>
      <c r="N26" s="6" t="s">
        <v>71</v>
      </c>
      <c r="O26" s="6" t="s">
        <v>56</v>
      </c>
      <c r="Q26" s="6" t="s">
        <v>71</v>
      </c>
      <c r="R26" s="6" t="s">
        <v>28</v>
      </c>
      <c r="T26" s="6" t="s">
        <v>71</v>
      </c>
      <c r="U26" s="6" t="s">
        <v>56</v>
      </c>
      <c r="W26" s="6" t="s">
        <v>71</v>
      </c>
      <c r="X26" s="6" t="s">
        <v>28</v>
      </c>
      <c r="Z26" s="6">
        <v>599</v>
      </c>
      <c r="AA26" s="6" t="s">
        <v>28</v>
      </c>
      <c r="AC26" s="6" t="s">
        <v>71</v>
      </c>
      <c r="AD26" s="6" t="s">
        <v>28</v>
      </c>
    </row>
    <row r="27" spans="2:33" x14ac:dyDescent="0.25">
      <c r="B27" s="6" t="s">
        <v>72</v>
      </c>
      <c r="C27" s="7">
        <v>4992</v>
      </c>
      <c r="E27" s="6" t="s">
        <v>72</v>
      </c>
      <c r="F27" s="7">
        <v>4914</v>
      </c>
      <c r="H27" s="6" t="s">
        <v>72</v>
      </c>
      <c r="I27" s="7">
        <v>8788</v>
      </c>
      <c r="K27" s="6" t="s">
        <v>72</v>
      </c>
      <c r="L27" s="7">
        <v>3640</v>
      </c>
      <c r="N27" s="6" t="s">
        <v>72</v>
      </c>
      <c r="O27" s="7">
        <v>6226</v>
      </c>
      <c r="Q27" s="6" t="s">
        <v>72</v>
      </c>
      <c r="R27" s="7">
        <v>5445</v>
      </c>
      <c r="T27" s="6" t="s">
        <v>72</v>
      </c>
      <c r="U27" s="7">
        <v>10122</v>
      </c>
      <c r="W27" s="6" t="s">
        <v>72</v>
      </c>
      <c r="X27" s="7">
        <v>2135</v>
      </c>
      <c r="Z27" s="6">
        <v>572</v>
      </c>
      <c r="AA27" s="7">
        <v>2905</v>
      </c>
      <c r="AC27" s="6" t="s">
        <v>72</v>
      </c>
      <c r="AD27" s="7">
        <v>5577</v>
      </c>
    </row>
    <row r="28" spans="2:33" x14ac:dyDescent="0.25">
      <c r="B28" s="7"/>
      <c r="C28" s="7">
        <v>1152</v>
      </c>
      <c r="E28" s="7"/>
      <c r="F28" s="7">
        <v>448</v>
      </c>
      <c r="H28" s="7"/>
      <c r="I28" s="7">
        <v>462</v>
      </c>
      <c r="K28" s="7"/>
      <c r="L28" s="7"/>
      <c r="N28" s="7"/>
      <c r="O28" s="7">
        <v>1523</v>
      </c>
      <c r="Q28" s="7"/>
      <c r="R28" s="7">
        <v>1126</v>
      </c>
      <c r="T28" s="7"/>
      <c r="U28" s="7">
        <f>2730*4</f>
        <v>10920</v>
      </c>
      <c r="W28" s="7"/>
      <c r="X28" s="7">
        <f>364*20</f>
        <v>7280</v>
      </c>
      <c r="Z28" s="7">
        <v>556</v>
      </c>
      <c r="AA28" s="7">
        <v>576</v>
      </c>
      <c r="AC28" s="7"/>
      <c r="AD28" s="7">
        <v>1206</v>
      </c>
    </row>
    <row r="29" spans="2:33" x14ac:dyDescent="0.25">
      <c r="B29" s="7"/>
      <c r="C29" s="7">
        <v>1054</v>
      </c>
      <c r="E29" s="7"/>
      <c r="F29" s="7">
        <v>1050</v>
      </c>
      <c r="H29" s="7"/>
      <c r="I29" s="7">
        <f>2730*4</f>
        <v>10920</v>
      </c>
      <c r="K29" s="7"/>
      <c r="L29" s="7"/>
      <c r="N29" s="7"/>
      <c r="O29" s="7">
        <v>1546</v>
      </c>
      <c r="Q29" s="7"/>
      <c r="R29" s="7">
        <v>1120</v>
      </c>
      <c r="T29" s="7"/>
      <c r="U29" s="7"/>
      <c r="W29" s="7"/>
      <c r="X29" s="7"/>
      <c r="Z29" s="7">
        <v>584</v>
      </c>
      <c r="AA29" s="7">
        <v>594</v>
      </c>
      <c r="AC29" s="7"/>
      <c r="AD29" s="7">
        <v>1090</v>
      </c>
    </row>
    <row r="30" spans="2:33" x14ac:dyDescent="0.25">
      <c r="B30" s="7"/>
      <c r="C30" s="7">
        <f>3640*4</f>
        <v>14560</v>
      </c>
      <c r="E30" s="7"/>
      <c r="F30" s="7">
        <f>3640*4</f>
        <v>14560</v>
      </c>
      <c r="H30" s="7"/>
      <c r="I30" s="7"/>
      <c r="K30" s="7"/>
      <c r="L30" s="7"/>
      <c r="N30" s="7"/>
      <c r="O30" s="7">
        <f>2730*3</f>
        <v>8190</v>
      </c>
      <c r="Q30" s="7"/>
      <c r="R30" s="7">
        <f>3640*4</f>
        <v>14560</v>
      </c>
      <c r="T30" s="7"/>
      <c r="U30" s="7"/>
      <c r="W30" s="7"/>
      <c r="X30" s="7"/>
      <c r="Z30" s="7">
        <v>630</v>
      </c>
      <c r="AA30" s="7">
        <f>364*20</f>
        <v>7280</v>
      </c>
      <c r="AC30" s="7"/>
      <c r="AD30" s="7">
        <f>3640*4</f>
        <v>14560</v>
      </c>
    </row>
    <row r="31" spans="2:33" x14ac:dyDescent="0.25">
      <c r="B31" s="7"/>
      <c r="E31" s="7"/>
      <c r="H31" s="7"/>
      <c r="K31" s="7"/>
      <c r="N31" s="7"/>
      <c r="Q31" s="7"/>
      <c r="T31" s="7"/>
      <c r="W31" s="7"/>
      <c r="Z31" s="7">
        <v>557</v>
      </c>
      <c r="AC31" s="7"/>
    </row>
    <row r="32" spans="2:33" x14ac:dyDescent="0.25">
      <c r="B32" s="7"/>
      <c r="C32" s="7"/>
      <c r="E32" s="7"/>
      <c r="F32" s="7"/>
      <c r="H32" s="7"/>
      <c r="I32" s="7"/>
      <c r="K32" s="7"/>
      <c r="L32" s="7"/>
      <c r="N32" s="7"/>
      <c r="O32" s="7"/>
      <c r="Q32" s="7"/>
      <c r="R32" s="7"/>
      <c r="T32" s="7"/>
      <c r="U32" s="7"/>
      <c r="W32" s="7"/>
      <c r="X32" s="7"/>
      <c r="Z32" s="7">
        <v>535</v>
      </c>
      <c r="AA32" s="7"/>
      <c r="AC32" s="7"/>
      <c r="AD32" s="7"/>
    </row>
    <row r="33" spans="2:30" x14ac:dyDescent="0.25">
      <c r="B33" s="7"/>
      <c r="C33" s="7"/>
      <c r="E33" s="7"/>
      <c r="F33" s="7"/>
      <c r="H33" s="7"/>
      <c r="I33" s="7"/>
      <c r="K33" s="7"/>
      <c r="L33" s="7"/>
      <c r="N33" s="7"/>
      <c r="O33" s="7"/>
      <c r="Q33" s="7"/>
      <c r="R33" s="7"/>
      <c r="T33" s="7"/>
      <c r="U33" s="7"/>
      <c r="W33" s="7"/>
      <c r="X33" s="7"/>
      <c r="Z33" s="7">
        <v>629</v>
      </c>
      <c r="AA33" s="7"/>
      <c r="AC33" s="7"/>
      <c r="AD33" s="7"/>
    </row>
    <row r="34" spans="2:30" x14ac:dyDescent="0.25">
      <c r="B34" s="7"/>
      <c r="C34" s="7"/>
      <c r="E34" s="7"/>
      <c r="F34" s="7"/>
      <c r="H34" s="7"/>
      <c r="I34" s="7"/>
      <c r="K34" s="7"/>
      <c r="L34" s="7"/>
      <c r="N34" s="7"/>
      <c r="O34" s="7"/>
      <c r="Q34" s="7"/>
      <c r="R34" s="7"/>
      <c r="T34" s="7"/>
      <c r="U34" s="7"/>
      <c r="W34" s="7"/>
      <c r="X34" s="7"/>
      <c r="Z34" s="7">
        <v>560</v>
      </c>
      <c r="AA34" s="7"/>
      <c r="AC34" s="7"/>
      <c r="AD34" s="7"/>
    </row>
    <row r="35" spans="2:30" x14ac:dyDescent="0.25">
      <c r="B35" s="7"/>
      <c r="C35" s="7"/>
      <c r="E35" s="7"/>
      <c r="F35" s="7"/>
      <c r="H35" s="7"/>
      <c r="I35" s="7"/>
      <c r="K35" s="7"/>
      <c r="L35" s="7"/>
      <c r="N35" s="7"/>
      <c r="O35" s="7"/>
      <c r="Q35" s="7"/>
      <c r="R35" s="7"/>
      <c r="T35" s="7"/>
      <c r="U35" s="7"/>
      <c r="W35" s="7"/>
      <c r="X35" s="7"/>
      <c r="Z35" s="7"/>
      <c r="AA35" s="7"/>
      <c r="AC35" s="7"/>
      <c r="AD35" s="7"/>
    </row>
    <row r="36" spans="2:30" x14ac:dyDescent="0.25">
      <c r="B36" s="7"/>
      <c r="C36" s="7"/>
      <c r="E36" s="7"/>
      <c r="F36" s="7"/>
      <c r="H36" s="7"/>
      <c r="I36" s="7"/>
      <c r="K36" s="7"/>
      <c r="L36" s="7"/>
      <c r="N36" s="7"/>
      <c r="O36" s="7"/>
      <c r="Q36" s="7"/>
      <c r="R36" s="7"/>
      <c r="T36" s="7"/>
      <c r="U36" s="7"/>
      <c r="W36" s="7"/>
      <c r="X36" s="7"/>
      <c r="Z36" s="7"/>
      <c r="AA36" s="7"/>
      <c r="AC36" s="7"/>
      <c r="AD36" s="7"/>
    </row>
    <row r="37" spans="2:30" x14ac:dyDescent="0.25">
      <c r="B37" s="7" t="s">
        <v>73</v>
      </c>
      <c r="C37" s="7">
        <f>C27+C28+C29+C30</f>
        <v>21758</v>
      </c>
      <c r="E37" s="7" t="s">
        <v>73</v>
      </c>
      <c r="F37" s="7">
        <f>F27+F28+F29+F30</f>
        <v>20972</v>
      </c>
      <c r="H37" s="7" t="s">
        <v>73</v>
      </c>
      <c r="I37" s="7">
        <f>I27+I28+I29+I30</f>
        <v>20170</v>
      </c>
      <c r="K37" s="7" t="s">
        <v>73</v>
      </c>
      <c r="L37" s="7">
        <f>L27+L28+L29+L30</f>
        <v>3640</v>
      </c>
      <c r="N37" s="7" t="s">
        <v>73</v>
      </c>
      <c r="O37" s="7">
        <f>O27+O28+O29+O30</f>
        <v>17485</v>
      </c>
      <c r="Q37" s="7" t="s">
        <v>73</v>
      </c>
      <c r="R37" s="7">
        <f>R27+R28+R29+R30</f>
        <v>22251</v>
      </c>
      <c r="T37" s="7" t="s">
        <v>73</v>
      </c>
      <c r="U37" s="7">
        <f>U27+U28+U29+U30</f>
        <v>21042</v>
      </c>
      <c r="W37" s="7" t="s">
        <v>73</v>
      </c>
      <c r="X37" s="7">
        <f>X27+X28+X29+X30</f>
        <v>9415</v>
      </c>
      <c r="Z37" s="7" t="s">
        <v>73</v>
      </c>
      <c r="AA37" s="7">
        <f>AA27+AA28+AA29+AA30</f>
        <v>11355</v>
      </c>
      <c r="AC37" s="7" t="s">
        <v>73</v>
      </c>
      <c r="AD37" s="7">
        <f>AD27+AD28+AD29+AD30</f>
        <v>22433</v>
      </c>
    </row>
    <row r="38" spans="2:30" x14ac:dyDescent="0.25">
      <c r="B38" s="7" t="s">
        <v>74</v>
      </c>
      <c r="C38" s="7">
        <f>56*400</f>
        <v>22400</v>
      </c>
      <c r="E38" s="7" t="s">
        <v>74</v>
      </c>
      <c r="F38" s="7">
        <f>57*400</f>
        <v>22800</v>
      </c>
      <c r="H38" s="7" t="s">
        <v>74</v>
      </c>
      <c r="I38" s="7">
        <f>40*600</f>
        <v>24000</v>
      </c>
      <c r="K38" s="7" t="s">
        <v>74</v>
      </c>
      <c r="L38" s="7">
        <f>57*100</f>
        <v>5700</v>
      </c>
      <c r="N38" s="7" t="s">
        <v>74</v>
      </c>
      <c r="O38" s="7">
        <f>41*450</f>
        <v>18450</v>
      </c>
      <c r="Q38" s="7" t="s">
        <v>74</v>
      </c>
      <c r="R38" s="7">
        <f>59*400</f>
        <v>23600</v>
      </c>
      <c r="T38" s="7" t="s">
        <v>74</v>
      </c>
      <c r="U38" s="7">
        <f>42*600</f>
        <v>25200</v>
      </c>
      <c r="W38" s="7" t="s">
        <v>74</v>
      </c>
      <c r="X38" s="7">
        <f>59*200</f>
        <v>11800</v>
      </c>
      <c r="Z38" s="7" t="s">
        <v>74</v>
      </c>
      <c r="AA38" s="7">
        <f>59*200</f>
        <v>11800</v>
      </c>
      <c r="AC38" s="7" t="s">
        <v>74</v>
      </c>
      <c r="AD38" s="7">
        <f>59*400</f>
        <v>23600</v>
      </c>
    </row>
    <row r="39" spans="2:30" x14ac:dyDescent="0.25">
      <c r="B39" s="7" t="s">
        <v>75</v>
      </c>
      <c r="C39" s="7">
        <f>57*420</f>
        <v>23940</v>
      </c>
      <c r="E39" s="7" t="s">
        <v>75</v>
      </c>
      <c r="F39" s="7">
        <f>57*400</f>
        <v>22800</v>
      </c>
      <c r="H39" s="7" t="s">
        <v>75</v>
      </c>
      <c r="I39" s="7">
        <f>41*630</f>
        <v>25830</v>
      </c>
      <c r="K39" s="7" t="s">
        <v>75</v>
      </c>
      <c r="L39" s="7">
        <f>59*100</f>
        <v>5900</v>
      </c>
      <c r="N39" s="7" t="s">
        <v>75</v>
      </c>
      <c r="O39" s="7">
        <f>42*450</f>
        <v>18900</v>
      </c>
      <c r="Q39" s="7" t="s">
        <v>75</v>
      </c>
      <c r="R39" s="7">
        <f>59*430</f>
        <v>25370</v>
      </c>
      <c r="T39" s="7" t="s">
        <v>75</v>
      </c>
      <c r="U39" s="7">
        <f>42*660</f>
        <v>27720</v>
      </c>
      <c r="W39" s="7" t="s">
        <v>75</v>
      </c>
      <c r="X39" s="7">
        <f>59*200</f>
        <v>11800</v>
      </c>
      <c r="Z39" s="7" t="s">
        <v>75</v>
      </c>
      <c r="AA39" s="7">
        <f>59*210</f>
        <v>12390</v>
      </c>
      <c r="AC39" s="7" t="s">
        <v>75</v>
      </c>
      <c r="AD39" s="7">
        <f>58*410</f>
        <v>23780</v>
      </c>
    </row>
    <row r="40" spans="2:30" x14ac:dyDescent="0.25">
      <c r="B40" s="7"/>
      <c r="C40" s="7">
        <f>57*40</f>
        <v>2280</v>
      </c>
      <c r="E40" s="7"/>
      <c r="F40" s="7"/>
      <c r="H40" s="7"/>
      <c r="I40" s="7"/>
      <c r="K40" s="7"/>
      <c r="L40" s="7"/>
      <c r="N40" s="7"/>
      <c r="O40" s="7"/>
      <c r="Q40" s="7"/>
      <c r="R40" s="7"/>
      <c r="T40" s="7"/>
      <c r="U40" s="7"/>
      <c r="W40" s="7"/>
      <c r="X40" s="7"/>
      <c r="Z40" s="7"/>
      <c r="AA40" s="7"/>
      <c r="AC40" s="7"/>
    </row>
    <row r="41" spans="2:30" x14ac:dyDescent="0.25">
      <c r="B41" s="7"/>
      <c r="C41" s="7"/>
      <c r="E41" s="7"/>
      <c r="F41" s="7"/>
      <c r="H41" s="7"/>
      <c r="I41" s="7"/>
      <c r="K41" s="7"/>
      <c r="L41" s="7"/>
      <c r="N41" s="7"/>
      <c r="O41" s="7"/>
      <c r="Q41" s="7"/>
      <c r="R41" s="7"/>
      <c r="T41" s="7"/>
      <c r="U41" s="7"/>
      <c r="W41" s="7"/>
      <c r="X41" s="7"/>
      <c r="Z41" s="7"/>
      <c r="AA41" s="7"/>
      <c r="AC41" s="7"/>
      <c r="AD41" s="7"/>
    </row>
    <row r="42" spans="2:30" x14ac:dyDescent="0.25">
      <c r="B42" s="7"/>
      <c r="C42" s="7"/>
      <c r="E42" s="7"/>
      <c r="F42" s="7"/>
      <c r="H42" s="7"/>
      <c r="I42" s="7"/>
      <c r="K42" s="7"/>
      <c r="L42" s="7"/>
      <c r="N42" s="7"/>
      <c r="O42" s="7"/>
      <c r="Q42" s="7"/>
      <c r="R42" s="7"/>
      <c r="T42" s="7"/>
      <c r="U42" s="7"/>
      <c r="W42" s="7"/>
      <c r="X42" s="7"/>
      <c r="Z42" s="7"/>
      <c r="AA42" s="7"/>
      <c r="AC42" s="7"/>
      <c r="AD42" s="7"/>
    </row>
    <row r="43" spans="2:30" x14ac:dyDescent="0.25">
      <c r="B43" s="7" t="s">
        <v>76</v>
      </c>
      <c r="C43" s="7">
        <f>C39+C40+C41+C42-C37</f>
        <v>4462</v>
      </c>
      <c r="E43" s="7" t="s">
        <v>76</v>
      </c>
      <c r="F43" s="7">
        <f>F39+F40+F41+F42-F37</f>
        <v>1828</v>
      </c>
      <c r="H43" s="7" t="s">
        <v>76</v>
      </c>
      <c r="I43" s="7">
        <f>I39+I40+I41+I42-I37</f>
        <v>5660</v>
      </c>
      <c r="K43" s="7" t="s">
        <v>76</v>
      </c>
      <c r="L43" s="7">
        <f>L39+L40+L41+L42-L37</f>
        <v>2260</v>
      </c>
      <c r="N43" s="7" t="s">
        <v>76</v>
      </c>
      <c r="O43" s="7">
        <f>O39+O40+O41+O42-O37</f>
        <v>1415</v>
      </c>
      <c r="Q43" s="7" t="s">
        <v>76</v>
      </c>
      <c r="R43" s="7">
        <f>R39+R40+R41+R42-R37</f>
        <v>3119</v>
      </c>
      <c r="T43" s="7" t="s">
        <v>76</v>
      </c>
      <c r="U43" s="7">
        <f>U39+U40+U41+U42-U37</f>
        <v>6678</v>
      </c>
      <c r="W43" s="7" t="s">
        <v>76</v>
      </c>
      <c r="X43" s="7">
        <f>X39+X40+X41+X42-X37</f>
        <v>2385</v>
      </c>
      <c r="Z43" s="7" t="s">
        <v>76</v>
      </c>
      <c r="AA43" s="7">
        <f>AA39+AA40+AA41+AA42-AA37</f>
        <v>1035</v>
      </c>
      <c r="AC43" s="7" t="s">
        <v>76</v>
      </c>
      <c r="AD43" s="7">
        <f>AD39+AD40+AD41+AD42-AD37</f>
        <v>1347</v>
      </c>
    </row>
    <row r="45" spans="2:30" x14ac:dyDescent="0.25">
      <c r="B45" s="5" t="s">
        <v>83</v>
      </c>
      <c r="D45" s="5">
        <f>C43+F43+I43+L43+O43+R43+U43+X43+AA43+AD43+AG43</f>
        <v>30189</v>
      </c>
    </row>
    <row r="48" spans="2:30" x14ac:dyDescent="0.25">
      <c r="B48" s="6" t="s">
        <v>64</v>
      </c>
      <c r="C48" s="6" t="s">
        <v>84</v>
      </c>
      <c r="E48" s="6" t="s">
        <v>64</v>
      </c>
      <c r="F48" s="6" t="s">
        <v>84</v>
      </c>
      <c r="H48" s="6" t="s">
        <v>64</v>
      </c>
      <c r="I48" s="6" t="s">
        <v>85</v>
      </c>
      <c r="K48" s="6" t="s">
        <v>64</v>
      </c>
      <c r="L48" s="6" t="s">
        <v>86</v>
      </c>
      <c r="N48" s="6" t="s">
        <v>64</v>
      </c>
      <c r="O48" s="6" t="s">
        <v>86</v>
      </c>
      <c r="Q48" s="6" t="s">
        <v>64</v>
      </c>
      <c r="R48" s="6" t="s">
        <v>86</v>
      </c>
      <c r="T48" s="6" t="s">
        <v>64</v>
      </c>
      <c r="U48" s="6" t="s">
        <v>87</v>
      </c>
      <c r="W48" s="6" t="s">
        <v>64</v>
      </c>
      <c r="X48" s="6" t="s">
        <v>87</v>
      </c>
      <c r="Z48" s="6" t="s">
        <v>64</v>
      </c>
      <c r="AA48" s="6" t="s">
        <v>88</v>
      </c>
      <c r="AC48" s="6" t="s">
        <v>64</v>
      </c>
      <c r="AD48" s="6" t="s">
        <v>89</v>
      </c>
    </row>
    <row r="49" spans="2:30" x14ac:dyDescent="0.25">
      <c r="B49" s="6" t="s">
        <v>71</v>
      </c>
      <c r="C49" s="6" t="s">
        <v>28</v>
      </c>
      <c r="E49" s="6" t="s">
        <v>71</v>
      </c>
      <c r="F49" s="6" t="s">
        <v>28</v>
      </c>
      <c r="H49" s="6" t="s">
        <v>71</v>
      </c>
      <c r="I49" s="6" t="s">
        <v>28</v>
      </c>
      <c r="K49" s="6" t="s">
        <v>71</v>
      </c>
      <c r="L49" s="6" t="s">
        <v>28</v>
      </c>
      <c r="N49" s="6" t="s">
        <v>71</v>
      </c>
      <c r="O49" s="6" t="s">
        <v>28</v>
      </c>
      <c r="Q49" s="6" t="s">
        <v>71</v>
      </c>
      <c r="R49" s="6" t="s">
        <v>28</v>
      </c>
      <c r="T49" s="6" t="s">
        <v>71</v>
      </c>
      <c r="U49" s="6" t="s">
        <v>56</v>
      </c>
      <c r="W49" s="6" t="s">
        <v>71</v>
      </c>
      <c r="X49" s="6" t="s">
        <v>56</v>
      </c>
      <c r="Z49" s="6" t="s">
        <v>71</v>
      </c>
      <c r="AA49" s="6" t="s">
        <v>56</v>
      </c>
      <c r="AC49" s="6" t="s">
        <v>71</v>
      </c>
      <c r="AD49" s="6" t="s">
        <v>28</v>
      </c>
    </row>
    <row r="50" spans="2:30" x14ac:dyDescent="0.25">
      <c r="B50" s="6" t="s">
        <v>72</v>
      </c>
      <c r="C50" s="7">
        <v>6686</v>
      </c>
      <c r="E50" s="6" t="s">
        <v>72</v>
      </c>
      <c r="F50" s="7">
        <v>3010</v>
      </c>
      <c r="H50" s="6" t="s">
        <v>72</v>
      </c>
      <c r="I50" s="7">
        <f>454*13</f>
        <v>5902</v>
      </c>
      <c r="K50" s="6" t="s">
        <v>72</v>
      </c>
      <c r="L50" s="7">
        <v>6272</v>
      </c>
      <c r="N50" s="6" t="s">
        <v>72</v>
      </c>
      <c r="O50" s="7">
        <v>4176</v>
      </c>
      <c r="Q50" s="6" t="s">
        <v>72</v>
      </c>
      <c r="R50" s="7">
        <f>441*13</f>
        <v>5733</v>
      </c>
      <c r="T50" s="6" t="s">
        <v>72</v>
      </c>
      <c r="U50" s="7">
        <v>8907</v>
      </c>
      <c r="W50" s="6" t="s">
        <v>72</v>
      </c>
      <c r="X50" s="7">
        <v>9093</v>
      </c>
      <c r="Z50" s="6" t="s">
        <v>72</v>
      </c>
      <c r="AA50" s="7">
        <v>9074</v>
      </c>
      <c r="AC50" s="6" t="s">
        <v>72</v>
      </c>
      <c r="AD50" s="7">
        <v>5797</v>
      </c>
    </row>
    <row r="51" spans="2:30" x14ac:dyDescent="0.25">
      <c r="B51" s="7"/>
      <c r="C51" s="7">
        <v>845</v>
      </c>
      <c r="E51" s="7"/>
      <c r="F51" s="7">
        <v>1134</v>
      </c>
      <c r="H51" s="7"/>
      <c r="I51" s="7">
        <f>18*70</f>
        <v>1260</v>
      </c>
      <c r="K51" s="7"/>
      <c r="L51" s="7">
        <v>1221</v>
      </c>
      <c r="N51" s="7"/>
      <c r="O51" s="7">
        <v>844</v>
      </c>
      <c r="Q51" s="7"/>
      <c r="R51" s="7">
        <f>67*18</f>
        <v>1206</v>
      </c>
      <c r="T51" s="7"/>
      <c r="U51" s="7">
        <v>1939</v>
      </c>
      <c r="W51" s="7"/>
      <c r="X51" s="7">
        <v>1656</v>
      </c>
      <c r="Z51" s="7"/>
      <c r="AA51" s="7">
        <v>1891</v>
      </c>
      <c r="AC51" s="7"/>
      <c r="AD51" s="7">
        <v>1242</v>
      </c>
    </row>
    <row r="52" spans="2:30" x14ac:dyDescent="0.25">
      <c r="B52" s="7"/>
      <c r="C52" s="7">
        <v>864</v>
      </c>
      <c r="E52" s="7"/>
      <c r="F52" s="7">
        <v>1073</v>
      </c>
      <c r="H52" s="7"/>
      <c r="I52" s="7">
        <f>34*33</f>
        <v>1122</v>
      </c>
      <c r="K52" s="7"/>
      <c r="L52" s="7">
        <v>1225</v>
      </c>
      <c r="N52" s="7"/>
      <c r="O52" s="7">
        <v>898</v>
      </c>
      <c r="Q52" s="7"/>
      <c r="R52" s="7">
        <f>34*34</f>
        <v>1156</v>
      </c>
      <c r="T52" s="7"/>
      <c r="U52" s="7">
        <v>1991</v>
      </c>
      <c r="W52" s="7"/>
      <c r="X52" s="7">
        <v>1749</v>
      </c>
      <c r="Z52" s="7"/>
      <c r="AA52" s="7">
        <v>1938</v>
      </c>
      <c r="AC52" s="7"/>
      <c r="AD52" s="7">
        <v>1155</v>
      </c>
    </row>
    <row r="53" spans="2:30" x14ac:dyDescent="0.25">
      <c r="B53" s="7"/>
      <c r="C53" s="7">
        <f>3640*4</f>
        <v>14560</v>
      </c>
      <c r="E53" s="7"/>
      <c r="F53" s="7">
        <f>3640*4</f>
        <v>14560</v>
      </c>
      <c r="H53" s="7"/>
      <c r="I53" s="7">
        <f>3640*4</f>
        <v>14560</v>
      </c>
      <c r="K53" s="7"/>
      <c r="L53" s="7">
        <f>3640*4</f>
        <v>14560</v>
      </c>
      <c r="N53" s="7"/>
      <c r="O53" s="7">
        <f>3640*4</f>
        <v>14560</v>
      </c>
      <c r="Q53" s="7"/>
      <c r="R53" s="7">
        <f>3640*4</f>
        <v>14560</v>
      </c>
      <c r="T53" s="7"/>
      <c r="U53" s="7">
        <v>447</v>
      </c>
      <c r="W53" s="7"/>
      <c r="X53" s="5">
        <f>2730*4</f>
        <v>10920</v>
      </c>
      <c r="Z53" s="7"/>
      <c r="AA53" s="5">
        <f>2730*4</f>
        <v>10920</v>
      </c>
      <c r="AC53" s="7"/>
      <c r="AD53" s="7">
        <f>3640*4</f>
        <v>14560</v>
      </c>
    </row>
    <row r="54" spans="2:30" x14ac:dyDescent="0.25">
      <c r="B54" s="7"/>
      <c r="E54" s="7"/>
      <c r="H54" s="7"/>
      <c r="K54" s="7"/>
      <c r="N54" s="7"/>
      <c r="Q54" s="7"/>
      <c r="T54" s="7"/>
      <c r="U54" s="5">
        <f>2730*4</f>
        <v>10920</v>
      </c>
      <c r="W54" s="7"/>
      <c r="Z54" s="7"/>
      <c r="AC54" s="7"/>
    </row>
    <row r="55" spans="2:30" x14ac:dyDescent="0.25">
      <c r="B55" s="7"/>
      <c r="C55" s="7"/>
      <c r="E55" s="7"/>
      <c r="F55" s="7"/>
      <c r="H55" s="7"/>
      <c r="I55" s="7"/>
      <c r="K55" s="7"/>
      <c r="L55" s="7"/>
      <c r="N55" s="7"/>
      <c r="O55" s="7"/>
      <c r="Q55" s="7"/>
      <c r="R55" s="7"/>
      <c r="T55" s="7"/>
      <c r="U55" s="7"/>
      <c r="W55" s="7"/>
      <c r="X55" s="7"/>
      <c r="Z55" s="7"/>
      <c r="AA55" s="7"/>
      <c r="AC55" s="7"/>
      <c r="AD55" s="7"/>
    </row>
    <row r="56" spans="2:30" x14ac:dyDescent="0.25">
      <c r="B56" s="7"/>
      <c r="C56" s="7"/>
      <c r="E56" s="7"/>
      <c r="F56" s="7"/>
      <c r="H56" s="7"/>
      <c r="I56" s="7"/>
      <c r="K56" s="7"/>
      <c r="L56" s="7"/>
      <c r="N56" s="7"/>
      <c r="O56" s="7"/>
      <c r="Q56" s="7"/>
      <c r="R56" s="7"/>
      <c r="T56" s="7"/>
      <c r="U56" s="7"/>
      <c r="W56" s="7"/>
      <c r="X56" s="7"/>
      <c r="Z56" s="7"/>
      <c r="AA56" s="7"/>
      <c r="AC56" s="7"/>
      <c r="AD56" s="7"/>
    </row>
    <row r="57" spans="2:30" x14ac:dyDescent="0.25">
      <c r="B57" s="7"/>
      <c r="C57" s="7"/>
      <c r="E57" s="7"/>
      <c r="F57" s="7"/>
      <c r="H57" s="7"/>
      <c r="I57" s="7"/>
      <c r="K57" s="7"/>
      <c r="L57" s="7"/>
      <c r="N57" s="7"/>
      <c r="O57" s="7"/>
      <c r="Q57" s="7"/>
      <c r="R57" s="7"/>
      <c r="T57" s="7"/>
      <c r="U57" s="7"/>
      <c r="W57" s="7"/>
      <c r="X57" s="7"/>
      <c r="Z57" s="7"/>
      <c r="AA57" s="7"/>
      <c r="AC57" s="7"/>
      <c r="AD57" s="7"/>
    </row>
    <row r="58" spans="2:30" x14ac:dyDescent="0.25">
      <c r="B58" s="7"/>
      <c r="C58" s="7"/>
      <c r="E58" s="7"/>
      <c r="F58" s="7"/>
      <c r="H58" s="7"/>
      <c r="I58" s="7"/>
      <c r="K58" s="7"/>
      <c r="L58" s="7"/>
      <c r="N58" s="7"/>
      <c r="O58" s="7"/>
      <c r="Q58" s="7"/>
      <c r="R58" s="7"/>
      <c r="T58" s="7"/>
      <c r="U58" s="7"/>
      <c r="W58" s="7"/>
      <c r="X58" s="7"/>
      <c r="Z58" s="7"/>
      <c r="AA58" s="7"/>
      <c r="AC58" s="7"/>
      <c r="AD58" s="7"/>
    </row>
    <row r="59" spans="2:30" x14ac:dyDescent="0.25">
      <c r="B59" s="7"/>
      <c r="C59" s="7"/>
      <c r="E59" s="7"/>
      <c r="F59" s="7"/>
      <c r="H59" s="7"/>
      <c r="I59" s="7"/>
      <c r="K59" s="7"/>
      <c r="L59" s="7"/>
      <c r="N59" s="7"/>
      <c r="O59" s="7"/>
      <c r="Q59" s="7"/>
      <c r="R59" s="7"/>
      <c r="T59" s="7"/>
      <c r="U59" s="7"/>
      <c r="W59" s="7"/>
      <c r="X59" s="7"/>
      <c r="Z59" s="7"/>
      <c r="AA59" s="7"/>
      <c r="AC59" s="7"/>
      <c r="AD59" s="7"/>
    </row>
    <row r="60" spans="2:30" x14ac:dyDescent="0.25">
      <c r="B60" s="7" t="s">
        <v>73</v>
      </c>
      <c r="C60" s="7">
        <f>C50+C51+C52+C53</f>
        <v>22955</v>
      </c>
      <c r="E60" s="7" t="s">
        <v>73</v>
      </c>
      <c r="F60" s="7">
        <f>F50+F51+F52+F53</f>
        <v>19777</v>
      </c>
      <c r="H60" s="7" t="s">
        <v>73</v>
      </c>
      <c r="I60" s="7">
        <f>I50+I51+I52+I53</f>
        <v>22844</v>
      </c>
      <c r="K60" s="7" t="s">
        <v>73</v>
      </c>
      <c r="L60" s="7">
        <f>L50+L51+L52+L53</f>
        <v>23278</v>
      </c>
      <c r="N60" s="7" t="s">
        <v>73</v>
      </c>
      <c r="O60" s="7">
        <f>O50+O51+O52+O53</f>
        <v>20478</v>
      </c>
      <c r="Q60" s="7" t="s">
        <v>73</v>
      </c>
      <c r="R60" s="7">
        <f>R50+R51+R52+R53</f>
        <v>22655</v>
      </c>
      <c r="T60" s="7" t="s">
        <v>73</v>
      </c>
      <c r="U60" s="7">
        <f>U50+U51+U52+U53+U54</f>
        <v>24204</v>
      </c>
      <c r="W60" s="7" t="s">
        <v>73</v>
      </c>
      <c r="X60" s="7">
        <f>X50+X51+X52+X53+X54</f>
        <v>23418</v>
      </c>
      <c r="Z60" s="7" t="s">
        <v>73</v>
      </c>
      <c r="AA60" s="7">
        <f>AA50+AA51+AA52+AA53+AA54</f>
        <v>23823</v>
      </c>
      <c r="AC60" s="7" t="s">
        <v>73</v>
      </c>
      <c r="AD60" s="7">
        <f>AD50+AD51+AD52+AD53</f>
        <v>22754</v>
      </c>
    </row>
    <row r="61" spans="2:30" x14ac:dyDescent="0.25">
      <c r="B61" s="7" t="s">
        <v>74</v>
      </c>
      <c r="C61" s="7">
        <f>57*400</f>
        <v>22800</v>
      </c>
      <c r="E61" s="7" t="s">
        <v>74</v>
      </c>
      <c r="F61" s="7">
        <f>59*400</f>
        <v>23600</v>
      </c>
      <c r="H61" s="7" t="s">
        <v>74</v>
      </c>
      <c r="I61" s="7">
        <f>59*400</f>
        <v>23600</v>
      </c>
      <c r="K61" s="7" t="s">
        <v>74</v>
      </c>
      <c r="L61" s="7">
        <f>60*400</f>
        <v>24000</v>
      </c>
      <c r="N61" s="7" t="s">
        <v>74</v>
      </c>
      <c r="O61" s="7">
        <f>60*400</f>
        <v>24000</v>
      </c>
      <c r="Q61" s="7" t="s">
        <v>74</v>
      </c>
      <c r="R61" s="7">
        <f>60*400</f>
        <v>24000</v>
      </c>
      <c r="T61" s="7" t="s">
        <v>74</v>
      </c>
      <c r="U61" s="7">
        <f>42*600</f>
        <v>25200</v>
      </c>
      <c r="W61" s="7" t="s">
        <v>74</v>
      </c>
      <c r="X61" s="7">
        <f>42*600</f>
        <v>25200</v>
      </c>
      <c r="Z61" s="7" t="s">
        <v>74</v>
      </c>
      <c r="AA61" s="7">
        <f>41*600</f>
        <v>24600</v>
      </c>
      <c r="AC61" s="7" t="s">
        <v>74</v>
      </c>
      <c r="AD61" s="7">
        <f>58*400</f>
        <v>23200</v>
      </c>
    </row>
    <row r="62" spans="2:30" x14ac:dyDescent="0.25">
      <c r="B62" s="7" t="s">
        <v>75</v>
      </c>
      <c r="C62" s="7">
        <f>59*420</f>
        <v>24780</v>
      </c>
      <c r="E62" s="7" t="s">
        <v>75</v>
      </c>
      <c r="F62" s="7">
        <f>59*420</f>
        <v>24780</v>
      </c>
      <c r="H62" s="7" t="s">
        <v>75</v>
      </c>
      <c r="I62" s="7">
        <f>60*420</f>
        <v>25200</v>
      </c>
      <c r="K62" s="7" t="s">
        <v>75</v>
      </c>
      <c r="L62" s="7">
        <f>60*410</f>
        <v>24600</v>
      </c>
      <c r="N62" s="7" t="s">
        <v>75</v>
      </c>
      <c r="O62" s="7">
        <f>60*430</f>
        <v>25800</v>
      </c>
      <c r="Q62" s="7" t="s">
        <v>75</v>
      </c>
      <c r="R62" s="7">
        <f>60*420</f>
        <v>25200</v>
      </c>
      <c r="T62" s="7" t="s">
        <v>75</v>
      </c>
      <c r="U62" s="7">
        <f>42*645</f>
        <v>27090</v>
      </c>
      <c r="W62" s="7" t="s">
        <v>75</v>
      </c>
      <c r="X62" s="7">
        <f>42*645</f>
        <v>27090</v>
      </c>
      <c r="Z62" s="7" t="s">
        <v>75</v>
      </c>
      <c r="AA62" s="7">
        <f>41*645</f>
        <v>26445</v>
      </c>
      <c r="AC62" s="7" t="s">
        <v>75</v>
      </c>
      <c r="AD62" s="7">
        <f>59*410</f>
        <v>24190</v>
      </c>
    </row>
    <row r="63" spans="2:30" x14ac:dyDescent="0.25">
      <c r="B63" s="7"/>
      <c r="C63" s="7"/>
      <c r="E63" s="7"/>
      <c r="F63" s="7"/>
      <c r="H63" s="7"/>
      <c r="I63" s="7"/>
      <c r="K63" s="7"/>
      <c r="L63" s="7"/>
      <c r="N63" s="7"/>
      <c r="O63" s="7"/>
      <c r="Q63" s="7"/>
      <c r="R63" s="7"/>
      <c r="T63" s="7"/>
      <c r="U63" s="7"/>
      <c r="W63" s="7"/>
      <c r="X63" s="7"/>
      <c r="Z63" s="7"/>
      <c r="AA63" s="7"/>
      <c r="AC63" s="7"/>
      <c r="AD63" s="7"/>
    </row>
    <row r="64" spans="2:30" x14ac:dyDescent="0.25">
      <c r="B64" s="7"/>
      <c r="C64" s="7"/>
      <c r="E64" s="7"/>
      <c r="F64" s="7"/>
      <c r="H64" s="7"/>
      <c r="I64" s="7"/>
      <c r="K64" s="7"/>
      <c r="L64" s="7"/>
      <c r="N64" s="7"/>
      <c r="O64" s="7"/>
      <c r="Q64" s="7"/>
      <c r="R64" s="7"/>
      <c r="T64" s="7"/>
      <c r="U64" s="7"/>
      <c r="W64" s="7"/>
      <c r="X64" s="7"/>
      <c r="Z64" s="7"/>
      <c r="AA64" s="7"/>
      <c r="AC64" s="7"/>
      <c r="AD64" s="7"/>
    </row>
    <row r="65" spans="2:36" x14ac:dyDescent="0.25">
      <c r="B65" s="7"/>
      <c r="C65" s="7"/>
      <c r="E65" s="7"/>
      <c r="F65" s="7"/>
      <c r="H65" s="7"/>
      <c r="I65" s="7"/>
      <c r="K65" s="7"/>
      <c r="L65" s="7"/>
      <c r="N65" s="7"/>
      <c r="O65" s="7"/>
      <c r="Q65" s="7"/>
      <c r="R65" s="7"/>
      <c r="T65" s="7"/>
      <c r="U65" s="7"/>
      <c r="W65" s="7"/>
      <c r="X65" s="7"/>
      <c r="Z65" s="7"/>
      <c r="AA65" s="7"/>
      <c r="AC65" s="7"/>
      <c r="AD65" s="7"/>
    </row>
    <row r="66" spans="2:36" x14ac:dyDescent="0.25">
      <c r="B66" s="7" t="s">
        <v>76</v>
      </c>
      <c r="C66" s="7">
        <f>C62+C63+C64+C65-C60</f>
        <v>1825</v>
      </c>
      <c r="E66" s="7" t="s">
        <v>76</v>
      </c>
      <c r="F66" s="7">
        <f>F62+F63+F64+F65-F60</f>
        <v>5003</v>
      </c>
      <c r="H66" s="7" t="s">
        <v>76</v>
      </c>
      <c r="I66" s="7">
        <f>I62+I63+I64+I65-I60</f>
        <v>2356</v>
      </c>
      <c r="K66" s="7" t="s">
        <v>76</v>
      </c>
      <c r="L66" s="7">
        <f>L62+L63+L64+L65-L60</f>
        <v>1322</v>
      </c>
      <c r="N66" s="7" t="s">
        <v>76</v>
      </c>
      <c r="O66" s="7">
        <f>O62+O63+O64+O65-O60</f>
        <v>5322</v>
      </c>
      <c r="Q66" s="7" t="s">
        <v>76</v>
      </c>
      <c r="R66" s="7">
        <f>R62+R63+R64+R65-R60</f>
        <v>2545</v>
      </c>
      <c r="T66" s="7" t="s">
        <v>76</v>
      </c>
      <c r="U66" s="7">
        <f>U62+U63+U64+U65-U60</f>
        <v>2886</v>
      </c>
      <c r="W66" s="7" t="s">
        <v>76</v>
      </c>
      <c r="X66" s="7">
        <f>X62+X63+X64+X65-X60</f>
        <v>3672</v>
      </c>
      <c r="Z66" s="7" t="s">
        <v>76</v>
      </c>
      <c r="AA66" s="7">
        <f>AA62+AA63+AA64+AA65-AA60</f>
        <v>2622</v>
      </c>
      <c r="AC66" s="7" t="s">
        <v>76</v>
      </c>
      <c r="AD66" s="7">
        <f>AD62+AD63+AD64+AD65-AD60</f>
        <v>1436</v>
      </c>
    </row>
    <row r="68" spans="2:36" x14ac:dyDescent="0.25">
      <c r="B68" s="5" t="s">
        <v>90</v>
      </c>
      <c r="D68" s="5">
        <f>C66+F66+I66+L66+O66+R66+U66+X66+AA66+AD66+AG66</f>
        <v>28989</v>
      </c>
    </row>
    <row r="71" spans="2:36" x14ac:dyDescent="0.25">
      <c r="B71" s="6" t="s">
        <v>64</v>
      </c>
      <c r="C71" s="6" t="s">
        <v>91</v>
      </c>
      <c r="E71" s="6" t="s">
        <v>64</v>
      </c>
      <c r="F71" s="6" t="s">
        <v>91</v>
      </c>
      <c r="H71" s="6" t="s">
        <v>64</v>
      </c>
      <c r="I71" s="6" t="s">
        <v>92</v>
      </c>
      <c r="K71" s="6" t="s">
        <v>64</v>
      </c>
      <c r="L71" s="6" t="s">
        <v>92</v>
      </c>
      <c r="N71" s="6" t="s">
        <v>64</v>
      </c>
      <c r="O71" s="6" t="s">
        <v>93</v>
      </c>
      <c r="Q71" s="6" t="s">
        <v>64</v>
      </c>
      <c r="R71" s="6" t="s">
        <v>93</v>
      </c>
      <c r="T71" s="6" t="s">
        <v>64</v>
      </c>
      <c r="U71" s="6" t="s">
        <v>94</v>
      </c>
      <c r="W71" s="6" t="s">
        <v>64</v>
      </c>
      <c r="X71" s="6" t="s">
        <v>94</v>
      </c>
      <c r="Z71" s="6" t="s">
        <v>64</v>
      </c>
      <c r="AA71" s="6" t="s">
        <v>95</v>
      </c>
      <c r="AC71" s="6" t="s">
        <v>64</v>
      </c>
      <c r="AD71" s="6" t="s">
        <v>96</v>
      </c>
      <c r="AF71" s="6" t="s">
        <v>64</v>
      </c>
      <c r="AG71" s="6" t="s">
        <v>96</v>
      </c>
      <c r="AI71" s="6" t="s">
        <v>64</v>
      </c>
      <c r="AJ71" s="6" t="s">
        <v>97</v>
      </c>
    </row>
    <row r="72" spans="2:36" x14ac:dyDescent="0.25">
      <c r="B72" s="6" t="s">
        <v>71</v>
      </c>
      <c r="C72" s="6" t="s">
        <v>28</v>
      </c>
      <c r="E72" s="6" t="s">
        <v>71</v>
      </c>
      <c r="F72" s="6" t="s">
        <v>28</v>
      </c>
      <c r="H72" s="6" t="s">
        <v>71</v>
      </c>
      <c r="I72" s="6" t="s">
        <v>28</v>
      </c>
      <c r="K72" s="6" t="s">
        <v>71</v>
      </c>
      <c r="L72" s="6" t="s">
        <v>28</v>
      </c>
      <c r="N72" s="6" t="s">
        <v>71</v>
      </c>
      <c r="O72" s="6" t="s">
        <v>28</v>
      </c>
      <c r="Q72" s="6" t="s">
        <v>71</v>
      </c>
      <c r="R72" s="6" t="s">
        <v>28</v>
      </c>
      <c r="T72" s="6" t="s">
        <v>71</v>
      </c>
      <c r="U72" s="6" t="s">
        <v>28</v>
      </c>
      <c r="W72" s="6" t="s">
        <v>71</v>
      </c>
      <c r="X72" s="6" t="s">
        <v>28</v>
      </c>
      <c r="Z72" s="6" t="s">
        <v>71</v>
      </c>
      <c r="AA72" s="6" t="s">
        <v>28</v>
      </c>
      <c r="AC72" s="6" t="s">
        <v>71</v>
      </c>
      <c r="AD72" s="6" t="s">
        <v>28</v>
      </c>
      <c r="AF72" s="6" t="s">
        <v>71</v>
      </c>
      <c r="AG72" s="6" t="s">
        <v>56</v>
      </c>
      <c r="AI72" s="6" t="s">
        <v>71</v>
      </c>
      <c r="AJ72" s="6" t="s">
        <v>28</v>
      </c>
    </row>
    <row r="73" spans="2:36" x14ac:dyDescent="0.25">
      <c r="B73" s="6" t="s">
        <v>72</v>
      </c>
      <c r="C73" s="7">
        <v>5785</v>
      </c>
      <c r="E73" s="6" t="s">
        <v>72</v>
      </c>
      <c r="F73" s="7">
        <v>5884</v>
      </c>
      <c r="H73" s="6" t="s">
        <v>72</v>
      </c>
      <c r="I73" s="7">
        <v>6227</v>
      </c>
      <c r="K73" s="6" t="s">
        <v>72</v>
      </c>
      <c r="L73" s="7">
        <v>2455</v>
      </c>
      <c r="N73" s="6" t="s">
        <v>72</v>
      </c>
      <c r="O73" s="7">
        <v>14560</v>
      </c>
      <c r="Q73" s="6" t="s">
        <v>72</v>
      </c>
      <c r="R73" s="7">
        <v>14560</v>
      </c>
      <c r="T73" s="6" t="s">
        <v>72</v>
      </c>
      <c r="U73" s="7">
        <v>6818</v>
      </c>
      <c r="W73" s="6" t="s">
        <v>72</v>
      </c>
      <c r="X73" s="7">
        <v>6214</v>
      </c>
      <c r="Z73" s="6" t="s">
        <v>72</v>
      </c>
      <c r="AA73" s="7">
        <v>6305</v>
      </c>
      <c r="AC73" s="6" t="s">
        <v>72</v>
      </c>
      <c r="AD73" s="7">
        <v>6135</v>
      </c>
      <c r="AF73" s="6" t="s">
        <v>72</v>
      </c>
      <c r="AG73" s="7">
        <v>10920</v>
      </c>
      <c r="AI73" s="6" t="s">
        <v>72</v>
      </c>
      <c r="AJ73" s="7">
        <v>6097</v>
      </c>
    </row>
    <row r="74" spans="2:36" x14ac:dyDescent="0.25">
      <c r="B74" s="7"/>
      <c r="C74" s="7">
        <v>1264</v>
      </c>
      <c r="E74" s="7"/>
      <c r="F74" s="7">
        <v>1260</v>
      </c>
      <c r="H74" s="7"/>
      <c r="I74" s="7">
        <v>1296</v>
      </c>
      <c r="K74" s="7"/>
      <c r="L74" s="7">
        <v>4428</v>
      </c>
      <c r="N74" s="7"/>
      <c r="O74" s="7"/>
      <c r="Q74" s="7"/>
      <c r="R74" s="7"/>
      <c r="T74" s="7"/>
      <c r="U74" s="7">
        <v>1416</v>
      </c>
      <c r="W74" s="7"/>
      <c r="X74" s="7">
        <v>1258</v>
      </c>
      <c r="Z74" s="7"/>
      <c r="AA74" s="7">
        <v>1386</v>
      </c>
      <c r="AC74" s="7"/>
      <c r="AD74" s="7">
        <v>1332</v>
      </c>
      <c r="AF74" s="7"/>
      <c r="AG74" s="7">
        <v>2268</v>
      </c>
      <c r="AI74" s="7"/>
      <c r="AJ74" s="7">
        <v>1277</v>
      </c>
    </row>
    <row r="75" spans="2:36" x14ac:dyDescent="0.25">
      <c r="B75" s="7"/>
      <c r="C75" s="7">
        <v>1224</v>
      </c>
      <c r="E75" s="7"/>
      <c r="F75" s="7">
        <v>1255</v>
      </c>
      <c r="H75" s="7"/>
      <c r="I75" s="7">
        <v>1258</v>
      </c>
      <c r="K75" s="7"/>
      <c r="L75" s="7">
        <v>1314</v>
      </c>
      <c r="N75" s="7"/>
      <c r="O75" s="7"/>
      <c r="Q75" s="7"/>
      <c r="R75" s="7"/>
      <c r="T75" s="7"/>
      <c r="U75" s="7">
        <v>1330</v>
      </c>
      <c r="W75" s="7"/>
      <c r="X75" s="7">
        <v>1292</v>
      </c>
      <c r="Z75" s="7"/>
      <c r="AA75" s="7">
        <v>1326</v>
      </c>
      <c r="AC75" s="7"/>
      <c r="AD75" s="7">
        <v>1330</v>
      </c>
      <c r="AF75" s="7"/>
      <c r="AG75" s="7">
        <v>2280</v>
      </c>
      <c r="AI75" s="7"/>
      <c r="AJ75" s="7">
        <v>1258</v>
      </c>
    </row>
    <row r="76" spans="2:36" x14ac:dyDescent="0.25">
      <c r="B76" s="7"/>
      <c r="C76" s="7">
        <f>3640*4</f>
        <v>14560</v>
      </c>
      <c r="E76" s="7"/>
      <c r="F76" s="7">
        <f>3640*4</f>
        <v>14560</v>
      </c>
      <c r="H76" s="7"/>
      <c r="I76" s="7">
        <f>3640*4</f>
        <v>14560</v>
      </c>
      <c r="K76" s="7"/>
      <c r="L76" s="7">
        <v>1295</v>
      </c>
      <c r="N76" s="7"/>
      <c r="O76" s="7"/>
      <c r="Q76" s="7"/>
      <c r="R76" s="7"/>
      <c r="T76" s="7"/>
      <c r="U76" s="7">
        <v>14560</v>
      </c>
      <c r="W76" s="7"/>
      <c r="X76" s="7">
        <v>14560</v>
      </c>
      <c r="Z76" s="7"/>
      <c r="AA76" s="7">
        <v>14560</v>
      </c>
      <c r="AC76" s="7"/>
      <c r="AD76" s="7">
        <v>14560</v>
      </c>
      <c r="AF76" s="7"/>
      <c r="AG76" s="7">
        <f>2730*4</f>
        <v>10920</v>
      </c>
      <c r="AI76" s="7"/>
      <c r="AJ76" s="7">
        <v>14560</v>
      </c>
    </row>
    <row r="77" spans="2:36" x14ac:dyDescent="0.25">
      <c r="B77" s="7"/>
      <c r="E77" s="7"/>
      <c r="H77" s="7"/>
      <c r="K77" s="7"/>
      <c r="L77" s="5">
        <v>14560</v>
      </c>
      <c r="N77" s="7"/>
      <c r="Q77" s="7"/>
      <c r="T77" s="7"/>
      <c r="W77" s="7"/>
      <c r="Z77" s="7"/>
      <c r="AC77" s="7"/>
      <c r="AF77" s="7"/>
      <c r="AI77" s="7"/>
    </row>
    <row r="78" spans="2:36" x14ac:dyDescent="0.25">
      <c r="B78" s="7"/>
      <c r="C78" s="7"/>
      <c r="E78" s="7"/>
      <c r="F78" s="7"/>
      <c r="H78" s="7"/>
      <c r="I78" s="7"/>
      <c r="K78" s="7"/>
      <c r="L78" s="7"/>
      <c r="N78" s="7"/>
      <c r="O78" s="7"/>
      <c r="Q78" s="7"/>
      <c r="R78" s="7"/>
      <c r="T78" s="7"/>
      <c r="U78" s="7"/>
      <c r="W78" s="7"/>
      <c r="X78" s="7"/>
      <c r="Z78" s="7"/>
      <c r="AA78" s="7"/>
      <c r="AC78" s="7"/>
      <c r="AD78" s="7"/>
      <c r="AF78" s="7"/>
      <c r="AG78" s="7"/>
      <c r="AI78" s="7"/>
      <c r="AJ78" s="7"/>
    </row>
    <row r="79" spans="2:36" x14ac:dyDescent="0.25">
      <c r="B79" s="7"/>
      <c r="C79" s="7"/>
      <c r="E79" s="7"/>
      <c r="F79" s="7"/>
      <c r="H79" s="7"/>
      <c r="I79" s="7"/>
      <c r="K79" s="7"/>
      <c r="L79" s="7"/>
      <c r="N79" s="7"/>
      <c r="O79" s="7"/>
      <c r="Q79" s="7"/>
      <c r="R79" s="7"/>
      <c r="T79" s="7"/>
      <c r="U79" s="7"/>
      <c r="W79" s="7"/>
      <c r="X79" s="7"/>
      <c r="Z79" s="7"/>
      <c r="AA79" s="7"/>
      <c r="AC79" s="7"/>
      <c r="AD79" s="7"/>
      <c r="AF79" s="7"/>
      <c r="AG79" s="7"/>
      <c r="AI79" s="7"/>
      <c r="AJ79" s="7"/>
    </row>
    <row r="80" spans="2:36" x14ac:dyDescent="0.25">
      <c r="B80" s="7"/>
      <c r="C80" s="7"/>
      <c r="E80" s="7"/>
      <c r="F80" s="7"/>
      <c r="H80" s="7"/>
      <c r="I80" s="7"/>
      <c r="K80" s="7"/>
      <c r="L80" s="7"/>
      <c r="N80" s="7"/>
      <c r="O80" s="7"/>
      <c r="Q80" s="7"/>
      <c r="R80" s="7"/>
      <c r="T80" s="7"/>
      <c r="U80" s="7"/>
      <c r="W80" s="7"/>
      <c r="X80" s="7"/>
      <c r="Z80" s="7"/>
      <c r="AA80" s="7"/>
      <c r="AC80" s="7"/>
      <c r="AD80" s="7"/>
      <c r="AF80" s="7"/>
      <c r="AG80" s="7"/>
      <c r="AI80" s="7"/>
      <c r="AJ80" s="7"/>
    </row>
    <row r="81" spans="2:36" x14ac:dyDescent="0.25">
      <c r="B81" s="7"/>
      <c r="C81" s="7"/>
      <c r="E81" s="7"/>
      <c r="F81" s="7"/>
      <c r="H81" s="7"/>
      <c r="I81" s="7"/>
      <c r="K81" s="7"/>
      <c r="L81" s="7"/>
      <c r="N81" s="7"/>
      <c r="O81" s="7"/>
      <c r="Q81" s="7"/>
      <c r="R81" s="7"/>
      <c r="T81" s="7"/>
      <c r="U81" s="7"/>
      <c r="W81" s="7"/>
      <c r="X81" s="7"/>
      <c r="Z81" s="7"/>
      <c r="AA81" s="7"/>
      <c r="AC81" s="7"/>
      <c r="AD81" s="7"/>
      <c r="AF81" s="7"/>
      <c r="AG81" s="7"/>
      <c r="AI81" s="7"/>
      <c r="AJ81" s="7"/>
    </row>
    <row r="82" spans="2:36" x14ac:dyDescent="0.25">
      <c r="B82" s="7"/>
      <c r="C82" s="7"/>
      <c r="E82" s="7"/>
      <c r="F82" s="7"/>
      <c r="H82" s="7"/>
      <c r="I82" s="7"/>
      <c r="K82" s="7"/>
      <c r="L82" s="7"/>
      <c r="N82" s="7"/>
      <c r="O82" s="7"/>
      <c r="Q82" s="7"/>
      <c r="R82" s="7"/>
      <c r="T82" s="7"/>
      <c r="U82" s="7"/>
      <c r="W82" s="7"/>
      <c r="X82" s="7"/>
      <c r="Z82" s="7"/>
      <c r="AA82" s="7"/>
      <c r="AC82" s="7"/>
      <c r="AD82" s="7"/>
      <c r="AF82" s="7"/>
      <c r="AG82" s="7"/>
      <c r="AI82" s="7"/>
      <c r="AJ82" s="7"/>
    </row>
    <row r="83" spans="2:36" x14ac:dyDescent="0.25">
      <c r="B83" s="7" t="s">
        <v>73</v>
      </c>
      <c r="C83" s="7">
        <f>C73+C74+C75+C76</f>
        <v>22833</v>
      </c>
      <c r="E83" s="7" t="s">
        <v>73</v>
      </c>
      <c r="F83" s="7">
        <f>F73+F74+F75+F76</f>
        <v>22959</v>
      </c>
      <c r="H83" s="7" t="s">
        <v>73</v>
      </c>
      <c r="I83" s="7">
        <f>I73+I74+I75+I76</f>
        <v>23341</v>
      </c>
      <c r="K83" s="7" t="s">
        <v>73</v>
      </c>
      <c r="L83" s="7">
        <f>L73+L74+L75+L76+L77</f>
        <v>24052</v>
      </c>
      <c r="N83" s="7" t="s">
        <v>73</v>
      </c>
      <c r="O83" s="7">
        <f>O73+O74+O75+O76+O77</f>
        <v>14560</v>
      </c>
      <c r="Q83" s="7" t="s">
        <v>73</v>
      </c>
      <c r="R83" s="7">
        <f>R73+R74+R75+R76+R77</f>
        <v>14560</v>
      </c>
      <c r="T83" s="7" t="s">
        <v>73</v>
      </c>
      <c r="U83" s="7">
        <f>U73+U74+U75+U76+U77</f>
        <v>24124</v>
      </c>
      <c r="W83" s="7" t="s">
        <v>73</v>
      </c>
      <c r="X83" s="7">
        <f>X73+X74+X75+X76+X77</f>
        <v>23324</v>
      </c>
      <c r="Z83" s="7" t="s">
        <v>73</v>
      </c>
      <c r="AA83" s="7">
        <f>AA73+AA74+AA75+AA76+AA77</f>
        <v>23577</v>
      </c>
      <c r="AC83" s="7" t="s">
        <v>73</v>
      </c>
      <c r="AD83" s="7">
        <f>AD73+AD74+AD75+AD76+AD77</f>
        <v>23357</v>
      </c>
      <c r="AF83" s="7" t="s">
        <v>73</v>
      </c>
      <c r="AG83" s="7">
        <f>AG73+AG74+AG75+AG76+AG77</f>
        <v>26388</v>
      </c>
      <c r="AI83" s="7" t="s">
        <v>73</v>
      </c>
      <c r="AJ83" s="7">
        <f>AJ73+AJ74+AJ75+AJ76+AJ77</f>
        <v>23192</v>
      </c>
    </row>
    <row r="84" spans="2:36" x14ac:dyDescent="0.25">
      <c r="B84" s="7" t="s">
        <v>74</v>
      </c>
      <c r="C84" s="7">
        <f>58*400</f>
        <v>23200</v>
      </c>
      <c r="E84" s="7" t="s">
        <v>74</v>
      </c>
      <c r="F84" s="7">
        <f>59*400</f>
        <v>23600</v>
      </c>
      <c r="H84" s="7" t="s">
        <v>74</v>
      </c>
      <c r="I84" s="7">
        <f>60*400</f>
        <v>24000</v>
      </c>
      <c r="K84" s="7" t="s">
        <v>74</v>
      </c>
      <c r="L84" s="7">
        <f>61*400</f>
        <v>24400</v>
      </c>
      <c r="N84" s="7" t="s">
        <v>74</v>
      </c>
      <c r="O84" s="7">
        <f>62*400</f>
        <v>24800</v>
      </c>
      <c r="Q84" s="7" t="s">
        <v>74</v>
      </c>
      <c r="R84" s="7">
        <f>61*400</f>
        <v>24400</v>
      </c>
      <c r="T84" s="7" t="s">
        <v>74</v>
      </c>
      <c r="U84" s="7">
        <f>63*400</f>
        <v>25200</v>
      </c>
      <c r="W84" s="7" t="s">
        <v>74</v>
      </c>
      <c r="X84" s="7">
        <f>62*400</f>
        <v>24800</v>
      </c>
      <c r="Z84" s="7" t="s">
        <v>74</v>
      </c>
      <c r="AA84" s="7">
        <f>62*400</f>
        <v>24800</v>
      </c>
      <c r="AC84" s="7" t="s">
        <v>74</v>
      </c>
      <c r="AD84" s="7">
        <f>62*400</f>
        <v>24800</v>
      </c>
      <c r="AF84" s="7" t="s">
        <v>74</v>
      </c>
      <c r="AG84" s="7">
        <f>46*600</f>
        <v>27600</v>
      </c>
      <c r="AI84" s="7" t="s">
        <v>74</v>
      </c>
      <c r="AJ84" s="7">
        <f>61*400</f>
        <v>24400</v>
      </c>
    </row>
    <row r="85" spans="2:36" x14ac:dyDescent="0.25">
      <c r="B85" s="7" t="s">
        <v>75</v>
      </c>
      <c r="C85" s="7">
        <f>59*420</f>
        <v>24780</v>
      </c>
      <c r="E85" s="7" t="s">
        <v>75</v>
      </c>
      <c r="F85" s="7">
        <f>60*420</f>
        <v>25200</v>
      </c>
      <c r="H85" s="7" t="s">
        <v>75</v>
      </c>
      <c r="I85" s="7">
        <f>61*420</f>
        <v>25620</v>
      </c>
      <c r="K85" s="7" t="s">
        <v>75</v>
      </c>
      <c r="L85" s="7">
        <f>62*410</f>
        <v>25420</v>
      </c>
      <c r="N85" s="7" t="s">
        <v>75</v>
      </c>
      <c r="O85" s="7">
        <f>61*410</f>
        <v>25010</v>
      </c>
      <c r="Q85" s="7" t="s">
        <v>75</v>
      </c>
      <c r="R85" s="7">
        <f>63*450</f>
        <v>28350</v>
      </c>
      <c r="T85" s="7" t="s">
        <v>75</v>
      </c>
      <c r="U85" s="7">
        <f>62*430</f>
        <v>26660</v>
      </c>
      <c r="W85" s="7" t="s">
        <v>75</v>
      </c>
      <c r="X85" s="7">
        <f>62*420</f>
        <v>26040</v>
      </c>
      <c r="Z85" s="7" t="s">
        <v>75</v>
      </c>
      <c r="AA85" s="7">
        <f>62*440</f>
        <v>27280</v>
      </c>
      <c r="AC85" s="7" t="s">
        <v>75</v>
      </c>
      <c r="AD85" s="7">
        <f>62*430</f>
        <v>26660</v>
      </c>
      <c r="AF85" s="7" t="s">
        <v>75</v>
      </c>
      <c r="AG85" s="7">
        <f>46*630</f>
        <v>28980</v>
      </c>
      <c r="AI85" s="7" t="s">
        <v>75</v>
      </c>
      <c r="AJ85" s="7">
        <f>61*440</f>
        <v>26840</v>
      </c>
    </row>
    <row r="86" spans="2:36" x14ac:dyDescent="0.25">
      <c r="B86" s="7"/>
      <c r="C86" s="7"/>
    </row>
    <row r="87" spans="2:36" x14ac:dyDescent="0.25">
      <c r="B87" s="7"/>
      <c r="C87" s="7"/>
    </row>
    <row r="88" spans="2:36" x14ac:dyDescent="0.25">
      <c r="B88" s="7"/>
      <c r="C88" s="7"/>
    </row>
    <row r="89" spans="2:36" x14ac:dyDescent="0.25">
      <c r="B89" s="7" t="s">
        <v>76</v>
      </c>
      <c r="C89" s="7">
        <f>C85+C86+C87+C88-C83</f>
        <v>1947</v>
      </c>
      <c r="E89" s="7" t="s">
        <v>76</v>
      </c>
      <c r="F89" s="7">
        <f>F85+F86+F87+F88-F83</f>
        <v>2241</v>
      </c>
      <c r="H89" s="7" t="s">
        <v>76</v>
      </c>
      <c r="I89" s="7">
        <f>I85+I86+I87+I88-I83</f>
        <v>2279</v>
      </c>
      <c r="K89" s="7" t="s">
        <v>76</v>
      </c>
      <c r="L89" s="7">
        <f>L85+L86+L87+L88-L83</f>
        <v>1368</v>
      </c>
      <c r="N89" s="7" t="s">
        <v>76</v>
      </c>
      <c r="O89" s="7">
        <f>O85+O86+O87+O88-O83</f>
        <v>10450</v>
      </c>
      <c r="Q89" s="7" t="s">
        <v>76</v>
      </c>
      <c r="R89" s="7">
        <f>R85+R86+R87+R88-R83</f>
        <v>13790</v>
      </c>
      <c r="T89" s="7" t="s">
        <v>76</v>
      </c>
      <c r="U89" s="7">
        <f>U85+U86+U87+U88-U83</f>
        <v>2536</v>
      </c>
      <c r="W89" s="7" t="s">
        <v>76</v>
      </c>
      <c r="X89" s="7">
        <f>X85+X86+X87+X88-X83</f>
        <v>2716</v>
      </c>
      <c r="Z89" s="7" t="s">
        <v>76</v>
      </c>
      <c r="AA89" s="7">
        <f>AA85+AA86+AA87+AA88-AA83</f>
        <v>3703</v>
      </c>
      <c r="AC89" s="7" t="s">
        <v>76</v>
      </c>
      <c r="AD89" s="7">
        <f>AD85+AD86+AD87+AD88-AD83</f>
        <v>3303</v>
      </c>
      <c r="AF89" s="7" t="s">
        <v>76</v>
      </c>
      <c r="AG89" s="7">
        <f>AG85+AG86+AG87+AG88-AG83</f>
        <v>2592</v>
      </c>
      <c r="AI89" s="7" t="s">
        <v>76</v>
      </c>
      <c r="AJ89" s="7">
        <f>AJ85+AJ86+AJ87+AJ88-AJ83</f>
        <v>3648</v>
      </c>
    </row>
    <row r="91" spans="2:36" x14ac:dyDescent="0.25">
      <c r="B91" s="5" t="s">
        <v>98</v>
      </c>
      <c r="D91" s="5">
        <f>C89+F89+I89+L89+O89+R89+U89+X89+AA89+AD89+AG89+AJ89</f>
        <v>50573</v>
      </c>
    </row>
    <row r="94" spans="2:36" x14ac:dyDescent="0.25">
      <c r="B94" s="6" t="s">
        <v>64</v>
      </c>
      <c r="C94" s="6" t="s">
        <v>99</v>
      </c>
      <c r="E94" s="6" t="s">
        <v>64</v>
      </c>
      <c r="F94" s="6" t="s">
        <v>100</v>
      </c>
      <c r="H94" s="6" t="s">
        <v>64</v>
      </c>
      <c r="I94" s="6" t="s">
        <v>100</v>
      </c>
      <c r="K94" s="6" t="s">
        <v>64</v>
      </c>
      <c r="L94" s="6" t="s">
        <v>101</v>
      </c>
      <c r="N94" s="6" t="s">
        <v>64</v>
      </c>
      <c r="O94" s="6" t="s">
        <v>101</v>
      </c>
      <c r="Q94" s="6" t="s">
        <v>64</v>
      </c>
      <c r="R94" s="6" t="s">
        <v>101</v>
      </c>
    </row>
    <row r="95" spans="2:36" x14ac:dyDescent="0.25">
      <c r="B95" s="6" t="s">
        <v>71</v>
      </c>
      <c r="C95" s="6" t="s">
        <v>56</v>
      </c>
      <c r="E95" s="6" t="s">
        <v>71</v>
      </c>
      <c r="F95" s="6" t="s">
        <v>56</v>
      </c>
      <c r="H95" s="6" t="s">
        <v>71</v>
      </c>
      <c r="I95" s="6" t="s">
        <v>28</v>
      </c>
      <c r="K95" s="6" t="s">
        <v>71</v>
      </c>
      <c r="L95" s="6" t="s">
        <v>28</v>
      </c>
      <c r="N95" s="6" t="s">
        <v>71</v>
      </c>
      <c r="O95" s="6" t="s">
        <v>28</v>
      </c>
      <c r="Q95" s="6" t="s">
        <v>71</v>
      </c>
      <c r="R95" s="6" t="s">
        <v>28</v>
      </c>
    </row>
    <row r="96" spans="2:36" x14ac:dyDescent="0.25">
      <c r="B96" s="6" t="s">
        <v>72</v>
      </c>
      <c r="C96" s="7">
        <v>11649</v>
      </c>
      <c r="E96" s="6" t="s">
        <v>72</v>
      </c>
      <c r="F96" s="7">
        <v>7527</v>
      </c>
      <c r="H96" s="6" t="s">
        <v>72</v>
      </c>
      <c r="I96" s="7">
        <v>6006</v>
      </c>
      <c r="K96" s="6" t="s">
        <v>72</v>
      </c>
      <c r="L96" s="7">
        <v>5798</v>
      </c>
      <c r="N96" s="6" t="s">
        <v>72</v>
      </c>
      <c r="O96" s="7">
        <v>5460</v>
      </c>
      <c r="Q96" s="6" t="s">
        <v>72</v>
      </c>
      <c r="R96" s="7">
        <v>5421</v>
      </c>
    </row>
    <row r="97" spans="2:19" x14ac:dyDescent="0.25">
      <c r="B97" s="7"/>
      <c r="C97" s="7">
        <f>2730*4</f>
        <v>10920</v>
      </c>
      <c r="E97" s="7"/>
      <c r="F97" s="7">
        <v>4053</v>
      </c>
      <c r="H97" s="7"/>
      <c r="I97" s="7">
        <v>1170</v>
      </c>
      <c r="K97" s="7"/>
      <c r="L97" s="7">
        <v>1224</v>
      </c>
      <c r="N97" s="7"/>
      <c r="O97" s="7">
        <v>1170</v>
      </c>
      <c r="Q97" s="7"/>
      <c r="R97" s="7">
        <v>1116</v>
      </c>
    </row>
    <row r="98" spans="2:19" x14ac:dyDescent="0.25">
      <c r="B98" s="7"/>
      <c r="C98" s="7"/>
      <c r="E98" s="7"/>
      <c r="F98" s="7">
        <f>2730*4</f>
        <v>10920</v>
      </c>
      <c r="H98" s="7"/>
      <c r="I98" s="7">
        <v>1155</v>
      </c>
      <c r="K98" s="7"/>
      <c r="L98" s="7">
        <v>1152</v>
      </c>
      <c r="N98" s="7"/>
      <c r="O98" s="7">
        <v>1156</v>
      </c>
      <c r="Q98" s="7"/>
      <c r="R98" s="7">
        <v>1138</v>
      </c>
    </row>
    <row r="99" spans="2:19" x14ac:dyDescent="0.25">
      <c r="B99" s="7"/>
      <c r="C99" s="7"/>
      <c r="E99" s="7"/>
      <c r="F99" s="7"/>
      <c r="H99" s="7"/>
      <c r="I99" s="7">
        <f>3640*4</f>
        <v>14560</v>
      </c>
      <c r="K99" s="7"/>
      <c r="L99" s="7">
        <f>3640*4</f>
        <v>14560</v>
      </c>
      <c r="N99" s="7"/>
      <c r="O99" s="7">
        <f>3640*4</f>
        <v>14560</v>
      </c>
      <c r="Q99" s="7"/>
      <c r="R99" s="7">
        <f>3640*4</f>
        <v>14560</v>
      </c>
    </row>
    <row r="100" spans="2:19" x14ac:dyDescent="0.25">
      <c r="B100" s="7"/>
      <c r="E100" s="7"/>
      <c r="H100" s="7"/>
      <c r="K100" s="7"/>
      <c r="N100" s="7"/>
      <c r="Q100" s="7"/>
      <c r="R100" s="7">
        <v>3640</v>
      </c>
    </row>
    <row r="101" spans="2:19" x14ac:dyDescent="0.25">
      <c r="B101" s="7"/>
      <c r="C101" s="7"/>
      <c r="E101" s="7"/>
      <c r="F101" s="7"/>
      <c r="H101" s="7"/>
      <c r="I101" s="7"/>
      <c r="K101" s="7"/>
      <c r="L101" s="7"/>
      <c r="N101" s="7"/>
      <c r="O101" s="7"/>
      <c r="Q101" s="7"/>
      <c r="R101" s="7"/>
    </row>
    <row r="102" spans="2:19" x14ac:dyDescent="0.25">
      <c r="B102" s="7"/>
      <c r="C102" s="7"/>
      <c r="E102" s="7"/>
      <c r="F102" s="7"/>
      <c r="H102" s="7"/>
      <c r="I102" s="7"/>
      <c r="K102" s="7"/>
      <c r="L102" s="7"/>
      <c r="N102" s="7"/>
      <c r="O102" s="7"/>
      <c r="Q102" s="7"/>
      <c r="R102" s="7"/>
    </row>
    <row r="103" spans="2:19" x14ac:dyDescent="0.25">
      <c r="B103" s="7"/>
      <c r="C103" s="7"/>
      <c r="E103" s="7"/>
      <c r="F103" s="7"/>
      <c r="H103" s="7"/>
      <c r="I103" s="7"/>
      <c r="K103" s="7"/>
      <c r="L103" s="7"/>
      <c r="N103" s="7"/>
      <c r="O103" s="7"/>
      <c r="Q103" s="7"/>
      <c r="R103" s="7"/>
    </row>
    <row r="104" spans="2:19" x14ac:dyDescent="0.25">
      <c r="B104" s="7"/>
      <c r="C104" s="7"/>
      <c r="E104" s="7"/>
      <c r="F104" s="7"/>
      <c r="H104" s="7"/>
      <c r="I104" s="7"/>
      <c r="K104" s="7"/>
      <c r="L104" s="7"/>
      <c r="N104" s="7"/>
      <c r="O104" s="7"/>
      <c r="Q104" s="7"/>
      <c r="R104" s="7"/>
    </row>
    <row r="105" spans="2:19" x14ac:dyDescent="0.25">
      <c r="B105" s="7"/>
      <c r="C105" s="7"/>
      <c r="E105" s="7"/>
      <c r="F105" s="7"/>
      <c r="H105" s="7"/>
      <c r="I105" s="7"/>
      <c r="K105" s="7"/>
      <c r="L105" s="7"/>
      <c r="N105" s="7"/>
      <c r="O105" s="7"/>
      <c r="Q105" s="7"/>
      <c r="R105" s="7"/>
    </row>
    <row r="106" spans="2:19" x14ac:dyDescent="0.25">
      <c r="B106" s="7" t="s">
        <v>73</v>
      </c>
      <c r="C106" s="7">
        <f>C96+C97+C98+C99</f>
        <v>22569</v>
      </c>
      <c r="E106" s="7" t="s">
        <v>73</v>
      </c>
      <c r="F106" s="7">
        <f>F96+F97+F98+F99</f>
        <v>22500</v>
      </c>
      <c r="H106" s="7" t="s">
        <v>73</v>
      </c>
      <c r="I106" s="7">
        <f>I96+I97+I98+I99</f>
        <v>22891</v>
      </c>
      <c r="K106" s="7" t="s">
        <v>73</v>
      </c>
      <c r="L106" s="7">
        <f>L96+L97+L98+L99</f>
        <v>22734</v>
      </c>
      <c r="N106" s="7" t="s">
        <v>73</v>
      </c>
      <c r="O106" s="7">
        <f>O96+O97+O98+O99</f>
        <v>22346</v>
      </c>
      <c r="Q106" s="7" t="s">
        <v>73</v>
      </c>
      <c r="R106" s="7">
        <f>R96+R97+R98+R99+R100</f>
        <v>25875</v>
      </c>
    </row>
    <row r="107" spans="2:19" x14ac:dyDescent="0.25">
      <c r="B107" s="7" t="s">
        <v>74</v>
      </c>
      <c r="C107" s="7">
        <f>46*600</f>
        <v>27600</v>
      </c>
      <c r="E107" s="7" t="s">
        <v>74</v>
      </c>
      <c r="F107" s="7">
        <f>46*600</f>
        <v>27600</v>
      </c>
      <c r="H107" s="7" t="s">
        <v>74</v>
      </c>
      <c r="I107" s="7">
        <f>58*400</f>
        <v>23200</v>
      </c>
      <c r="K107" s="7" t="s">
        <v>74</v>
      </c>
      <c r="L107" s="7">
        <f>58*400</f>
        <v>23200</v>
      </c>
      <c r="N107" s="7" t="s">
        <v>74</v>
      </c>
      <c r="O107" s="7">
        <f>59*400</f>
        <v>23600</v>
      </c>
      <c r="Q107" s="7" t="s">
        <v>74</v>
      </c>
      <c r="R107" s="7">
        <f>59*400</f>
        <v>23600</v>
      </c>
    </row>
    <row r="108" spans="2:19" x14ac:dyDescent="0.25">
      <c r="B108" s="7" t="s">
        <v>75</v>
      </c>
      <c r="C108" s="7">
        <f>46*645</f>
        <v>29670</v>
      </c>
      <c r="D108" s="5" t="s">
        <v>102</v>
      </c>
      <c r="E108" s="7" t="s">
        <v>75</v>
      </c>
      <c r="F108" s="7">
        <f>46*660</f>
        <v>30360</v>
      </c>
      <c r="H108" s="7" t="s">
        <v>75</v>
      </c>
      <c r="I108" s="7">
        <f>59*420</f>
        <v>24780</v>
      </c>
      <c r="K108" s="7" t="s">
        <v>75</v>
      </c>
      <c r="L108" s="7">
        <f>59*420</f>
        <v>24780</v>
      </c>
      <c r="N108" s="7" t="s">
        <v>75</v>
      </c>
      <c r="O108" s="7">
        <v>0</v>
      </c>
      <c r="P108" s="5" t="s">
        <v>103</v>
      </c>
      <c r="Q108" s="7" t="s">
        <v>75</v>
      </c>
      <c r="R108" s="7">
        <v>0</v>
      </c>
      <c r="S108" s="5" t="s">
        <v>103</v>
      </c>
    </row>
    <row r="109" spans="2:19" x14ac:dyDescent="0.25">
      <c r="B109" s="7"/>
      <c r="C109" s="7"/>
      <c r="E109" s="7"/>
      <c r="F109" s="7"/>
    </row>
    <row r="110" spans="2:19" x14ac:dyDescent="0.25">
      <c r="B110" s="7"/>
      <c r="C110" s="7"/>
      <c r="E110" s="7"/>
      <c r="F110" s="7"/>
    </row>
    <row r="111" spans="2:19" x14ac:dyDescent="0.25">
      <c r="B111" s="7"/>
      <c r="C111" s="7"/>
      <c r="E111" s="7"/>
      <c r="F111" s="7"/>
    </row>
    <row r="112" spans="2:19" x14ac:dyDescent="0.25">
      <c r="B112" s="7" t="s">
        <v>76</v>
      </c>
      <c r="C112" s="7">
        <f>C108+C109+C110+C111-C106</f>
        <v>7101</v>
      </c>
      <c r="E112" s="7" t="s">
        <v>76</v>
      </c>
      <c r="F112" s="7">
        <f>F108+F109+F110+F111-F106</f>
        <v>7860</v>
      </c>
      <c r="H112" s="7" t="s">
        <v>76</v>
      </c>
      <c r="I112" s="7">
        <f>I108+I109+I110+I111-I106</f>
        <v>1889</v>
      </c>
      <c r="K112" s="7" t="s">
        <v>76</v>
      </c>
      <c r="L112" s="7">
        <f>L108+L109+L110+L111-L106</f>
        <v>2046</v>
      </c>
      <c r="N112" s="7" t="s">
        <v>76</v>
      </c>
      <c r="O112" s="7">
        <f>O108+O109+O110+O111-O106</f>
        <v>-22346</v>
      </c>
      <c r="Q112" s="7" t="s">
        <v>76</v>
      </c>
      <c r="R112" s="7">
        <f>R108+R109+R110+R111-R106</f>
        <v>-25875</v>
      </c>
    </row>
    <row r="114" spans="2:6" x14ac:dyDescent="0.25">
      <c r="B114" s="5" t="s">
        <v>98</v>
      </c>
      <c r="D114" s="5">
        <f>C112+F112+I112+L112+O112+R112+U112+X112+AA112+AD112+AG112+AJ112</f>
        <v>-29325</v>
      </c>
    </row>
    <row r="117" spans="2:6" x14ac:dyDescent="0.25">
      <c r="B117" s="6" t="s">
        <v>64</v>
      </c>
      <c r="C117" s="6" t="s">
        <v>104</v>
      </c>
      <c r="E117" s="6" t="s">
        <v>64</v>
      </c>
      <c r="F117" s="6" t="s">
        <v>104</v>
      </c>
    </row>
    <row r="118" spans="2:6" x14ac:dyDescent="0.25">
      <c r="B118" s="6" t="s">
        <v>71</v>
      </c>
      <c r="C118" s="6" t="s">
        <v>28</v>
      </c>
      <c r="E118" s="6" t="s">
        <v>71</v>
      </c>
      <c r="F118" s="6" t="s">
        <v>28</v>
      </c>
    </row>
    <row r="119" spans="2:6" x14ac:dyDescent="0.25">
      <c r="B119" s="6" t="s">
        <v>72</v>
      </c>
      <c r="C119" s="7">
        <v>4295</v>
      </c>
      <c r="E119" s="6" t="s">
        <v>72</v>
      </c>
      <c r="F119" s="7">
        <v>5811</v>
      </c>
    </row>
    <row r="120" spans="2:6" x14ac:dyDescent="0.25">
      <c r="B120" s="7"/>
      <c r="C120" s="7">
        <v>870</v>
      </c>
      <c r="E120" s="7"/>
      <c r="F120" s="7">
        <v>1206</v>
      </c>
    </row>
    <row r="121" spans="2:6" x14ac:dyDescent="0.25">
      <c r="B121" s="7"/>
      <c r="C121" s="7">
        <v>850</v>
      </c>
      <c r="E121" s="7"/>
      <c r="F121" s="7">
        <v>1122</v>
      </c>
    </row>
    <row r="122" spans="2:6" x14ac:dyDescent="0.25">
      <c r="B122" s="7"/>
      <c r="C122" s="7">
        <f>3640*4</f>
        <v>14560</v>
      </c>
      <c r="E122" s="7"/>
      <c r="F122" s="7">
        <f>3640*4</f>
        <v>14560</v>
      </c>
    </row>
    <row r="123" spans="2:6" x14ac:dyDescent="0.25">
      <c r="B123" s="7"/>
      <c r="E123" s="7"/>
    </row>
    <row r="124" spans="2:6" x14ac:dyDescent="0.25">
      <c r="B124" s="7"/>
      <c r="C124" s="7"/>
      <c r="E124" s="7"/>
      <c r="F124" s="7"/>
    </row>
    <row r="125" spans="2:6" x14ac:dyDescent="0.25">
      <c r="B125" s="7"/>
      <c r="C125" s="7"/>
      <c r="E125" s="7"/>
      <c r="F125" s="7"/>
    </row>
    <row r="126" spans="2:6" x14ac:dyDescent="0.25">
      <c r="B126" s="7"/>
      <c r="C126" s="7"/>
      <c r="E126" s="7"/>
      <c r="F126" s="7"/>
    </row>
    <row r="127" spans="2:6" x14ac:dyDescent="0.25">
      <c r="B127" s="7"/>
      <c r="C127" s="7"/>
      <c r="E127" s="7"/>
      <c r="F127" s="7"/>
    </row>
    <row r="128" spans="2:6" x14ac:dyDescent="0.25">
      <c r="B128" s="7"/>
      <c r="C128" s="7"/>
      <c r="E128" s="7"/>
      <c r="F128" s="7"/>
    </row>
    <row r="129" spans="2:18" x14ac:dyDescent="0.25">
      <c r="B129" s="7" t="s">
        <v>73</v>
      </c>
      <c r="C129" s="7">
        <f>C119+C120+C121+C122</f>
        <v>20575</v>
      </c>
      <c r="E129" s="7" t="s">
        <v>73</v>
      </c>
      <c r="F129" s="7">
        <f>F119+F120+F121+F122</f>
        <v>22699</v>
      </c>
    </row>
    <row r="130" spans="2:18" x14ac:dyDescent="0.25">
      <c r="B130" s="7" t="s">
        <v>74</v>
      </c>
      <c r="C130" s="7">
        <f>60*400</f>
        <v>24000</v>
      </c>
      <c r="E130" s="7" t="s">
        <v>74</v>
      </c>
      <c r="F130" s="7">
        <f>59*400</f>
        <v>23600</v>
      </c>
    </row>
    <row r="131" spans="2:18" x14ac:dyDescent="0.25">
      <c r="B131" s="7" t="s">
        <v>75</v>
      </c>
      <c r="C131" s="7">
        <v>0</v>
      </c>
      <c r="D131" s="5" t="s">
        <v>103</v>
      </c>
      <c r="E131" s="7" t="s">
        <v>75</v>
      </c>
      <c r="F131" s="7">
        <f>59*170</f>
        <v>10030</v>
      </c>
    </row>
    <row r="132" spans="2:18" x14ac:dyDescent="0.25">
      <c r="B132" s="7"/>
      <c r="C132" s="7"/>
      <c r="E132" s="7"/>
      <c r="F132" s="7"/>
    </row>
    <row r="133" spans="2:18" x14ac:dyDescent="0.25">
      <c r="B133" s="7"/>
      <c r="C133" s="7"/>
      <c r="E133" s="7"/>
      <c r="F133" s="7"/>
    </row>
    <row r="134" spans="2:18" x14ac:dyDescent="0.25">
      <c r="B134" s="7"/>
      <c r="C134" s="7"/>
      <c r="E134" s="7"/>
      <c r="F134" s="7"/>
    </row>
    <row r="135" spans="2:18" x14ac:dyDescent="0.25">
      <c r="B135" s="7" t="s">
        <v>76</v>
      </c>
      <c r="C135" s="7">
        <f>C131+C132+C133+C134-C129</f>
        <v>-20575</v>
      </c>
      <c r="E135" s="7" t="s">
        <v>76</v>
      </c>
      <c r="F135" s="7">
        <f>F131+F132+F133+F134-F129</f>
        <v>-12669</v>
      </c>
    </row>
    <row r="137" spans="2:18" x14ac:dyDescent="0.25">
      <c r="B137" s="5" t="s">
        <v>105</v>
      </c>
      <c r="D137" s="5">
        <f>C135+F135+I135+L135+O135+R135+U135+X135+AA135+AD135+AG135+AJ135</f>
        <v>-33244</v>
      </c>
    </row>
    <row r="140" spans="2:18" x14ac:dyDescent="0.25">
      <c r="B140" s="6" t="s">
        <v>64</v>
      </c>
      <c r="C140" s="6" t="s">
        <v>106</v>
      </c>
      <c r="E140" s="6" t="s">
        <v>64</v>
      </c>
      <c r="F140" s="6" t="s">
        <v>107</v>
      </c>
      <c r="H140" s="6" t="s">
        <v>64</v>
      </c>
      <c r="I140" s="6" t="s">
        <v>107</v>
      </c>
      <c r="K140" s="6" t="s">
        <v>64</v>
      </c>
      <c r="L140" s="6" t="s">
        <v>108</v>
      </c>
      <c r="N140" s="6" t="s">
        <v>64</v>
      </c>
      <c r="O140" s="6" t="s">
        <v>108</v>
      </c>
      <c r="Q140" s="6" t="s">
        <v>64</v>
      </c>
      <c r="R140" s="6" t="s">
        <v>109</v>
      </c>
    </row>
    <row r="141" spans="2:18" x14ac:dyDescent="0.25">
      <c r="B141" s="6" t="s">
        <v>71</v>
      </c>
      <c r="C141" s="6" t="s">
        <v>28</v>
      </c>
      <c r="E141" s="6" t="s">
        <v>71</v>
      </c>
      <c r="F141" s="6" t="s">
        <v>28</v>
      </c>
      <c r="H141" s="6" t="s">
        <v>71</v>
      </c>
      <c r="I141" s="6" t="s">
        <v>28</v>
      </c>
      <c r="K141" s="6" t="s">
        <v>71</v>
      </c>
      <c r="L141" s="6" t="s">
        <v>28</v>
      </c>
      <c r="N141" s="6" t="s">
        <v>71</v>
      </c>
      <c r="O141" s="6" t="s">
        <v>28</v>
      </c>
      <c r="Q141" s="6" t="s">
        <v>71</v>
      </c>
      <c r="R141" s="6" t="s">
        <v>28</v>
      </c>
    </row>
    <row r="142" spans="2:18" x14ac:dyDescent="0.25">
      <c r="B142" s="6" t="s">
        <v>72</v>
      </c>
      <c r="C142" s="7">
        <v>6929</v>
      </c>
      <c r="E142" s="6" t="s">
        <v>72</v>
      </c>
      <c r="F142" s="7">
        <v>7252</v>
      </c>
      <c r="H142" s="6" t="s">
        <v>72</v>
      </c>
      <c r="I142" s="7">
        <v>6890</v>
      </c>
      <c r="K142" s="6" t="s">
        <v>72</v>
      </c>
      <c r="L142" s="7">
        <v>6656</v>
      </c>
      <c r="N142" s="6" t="s">
        <v>72</v>
      </c>
      <c r="O142" s="7">
        <v>6656</v>
      </c>
      <c r="Q142" s="6" t="s">
        <v>72</v>
      </c>
      <c r="R142" s="7">
        <v>6656</v>
      </c>
    </row>
    <row r="143" spans="2:18" x14ac:dyDescent="0.25">
      <c r="B143" s="7"/>
      <c r="C143" s="7">
        <v>1456</v>
      </c>
      <c r="E143" s="7"/>
      <c r="F143" s="7">
        <v>1326</v>
      </c>
      <c r="H143" s="7"/>
      <c r="I143" s="7">
        <v>1458</v>
      </c>
      <c r="K143" s="7"/>
      <c r="L143" s="7">
        <v>1439</v>
      </c>
      <c r="N143" s="7"/>
      <c r="O143" s="7">
        <v>1439</v>
      </c>
      <c r="Q143" s="7"/>
      <c r="R143" s="7">
        <v>1440</v>
      </c>
    </row>
    <row r="144" spans="2:18" x14ac:dyDescent="0.25">
      <c r="B144" s="7"/>
      <c r="C144" s="7">
        <v>1463</v>
      </c>
      <c r="E144" s="7"/>
      <c r="F144" s="7">
        <v>1326</v>
      </c>
      <c r="H144" s="7"/>
      <c r="I144" s="7">
        <v>1360</v>
      </c>
      <c r="K144" s="7"/>
      <c r="L144" s="7">
        <v>1365</v>
      </c>
      <c r="N144" s="7"/>
      <c r="O144" s="7">
        <v>1365</v>
      </c>
      <c r="Q144" s="7"/>
      <c r="R144" s="7">
        <v>1379</v>
      </c>
    </row>
    <row r="145" spans="2:18" x14ac:dyDescent="0.25">
      <c r="B145" s="7"/>
      <c r="C145" s="7">
        <f>3480*4</f>
        <v>13920</v>
      </c>
      <c r="E145" s="7"/>
      <c r="F145" s="7">
        <f>3480*4</f>
        <v>13920</v>
      </c>
      <c r="H145" s="7"/>
      <c r="I145" s="7">
        <f>3480*4</f>
        <v>13920</v>
      </c>
      <c r="K145" s="7"/>
      <c r="L145" s="7">
        <f>3480*4</f>
        <v>13920</v>
      </c>
      <c r="N145" s="7"/>
      <c r="O145" s="7">
        <f>3480*4</f>
        <v>13920</v>
      </c>
      <c r="Q145" s="7"/>
      <c r="R145" s="7">
        <f>3480*4</f>
        <v>13920</v>
      </c>
    </row>
    <row r="146" spans="2:18" x14ac:dyDescent="0.25">
      <c r="B146" s="7"/>
      <c r="E146" s="7"/>
      <c r="H146" s="7"/>
      <c r="K146" s="7"/>
      <c r="N146" s="7"/>
      <c r="Q146" s="7"/>
    </row>
    <row r="147" spans="2:18" x14ac:dyDescent="0.25">
      <c r="B147" s="7"/>
      <c r="C147" s="7"/>
      <c r="E147" s="7"/>
      <c r="F147" s="7"/>
      <c r="H147" s="7"/>
      <c r="I147" s="7"/>
      <c r="K147" s="7"/>
      <c r="L147" s="7"/>
      <c r="N147" s="7"/>
      <c r="O147" s="7"/>
      <c r="Q147" s="7"/>
      <c r="R147" s="7"/>
    </row>
    <row r="148" spans="2:18" x14ac:dyDescent="0.25">
      <c r="B148" s="7"/>
      <c r="C148" s="7"/>
      <c r="E148" s="7"/>
      <c r="F148" s="7"/>
      <c r="H148" s="7"/>
      <c r="I148" s="7"/>
      <c r="K148" s="7"/>
      <c r="L148" s="7"/>
      <c r="N148" s="7"/>
      <c r="O148" s="7"/>
      <c r="Q148" s="7"/>
      <c r="R148" s="7"/>
    </row>
    <row r="149" spans="2:18" x14ac:dyDescent="0.25">
      <c r="B149" s="7"/>
      <c r="C149" s="7"/>
      <c r="E149" s="7"/>
      <c r="F149" s="7"/>
      <c r="H149" s="7"/>
      <c r="I149" s="7"/>
      <c r="K149" s="7"/>
      <c r="L149" s="7"/>
      <c r="N149" s="7"/>
      <c r="O149" s="7"/>
      <c r="Q149" s="7"/>
      <c r="R149" s="7"/>
    </row>
    <row r="150" spans="2:18" x14ac:dyDescent="0.25">
      <c r="B150" s="7"/>
      <c r="C150" s="7"/>
      <c r="E150" s="7"/>
      <c r="F150" s="7"/>
      <c r="H150" s="7"/>
      <c r="I150" s="7"/>
      <c r="K150" s="7"/>
      <c r="L150" s="7"/>
      <c r="N150" s="7"/>
      <c r="O150" s="7"/>
      <c r="Q150" s="7"/>
      <c r="R150" s="7"/>
    </row>
    <row r="151" spans="2:18" x14ac:dyDescent="0.25">
      <c r="B151" s="7"/>
      <c r="C151" s="7"/>
      <c r="E151" s="7"/>
      <c r="F151" s="7"/>
      <c r="H151" s="7"/>
      <c r="I151" s="7"/>
      <c r="K151" s="7"/>
      <c r="L151" s="7"/>
      <c r="N151" s="7"/>
      <c r="O151" s="7"/>
      <c r="Q151" s="7"/>
      <c r="R151" s="7"/>
    </row>
    <row r="152" spans="2:18" x14ac:dyDescent="0.25">
      <c r="B152" s="7" t="s">
        <v>73</v>
      </c>
      <c r="C152" s="7">
        <f>C142+C143+C144+C145</f>
        <v>23768</v>
      </c>
      <c r="E152" s="7" t="s">
        <v>73</v>
      </c>
      <c r="F152" s="7">
        <f>F142+F143+F144+F145</f>
        <v>23824</v>
      </c>
      <c r="H152" s="7" t="s">
        <v>73</v>
      </c>
      <c r="I152" s="7">
        <f>I142+I143+I144+I145</f>
        <v>23628</v>
      </c>
      <c r="K152" s="7" t="s">
        <v>73</v>
      </c>
      <c r="L152" s="7">
        <f>L142+L143+L144+L145</f>
        <v>23380</v>
      </c>
      <c r="N152" s="7" t="s">
        <v>73</v>
      </c>
      <c r="O152" s="7">
        <f>O142+O143+O144+O145</f>
        <v>23380</v>
      </c>
      <c r="Q152" s="7" t="s">
        <v>73</v>
      </c>
      <c r="R152" s="7">
        <f>R142+R143+R144+R145</f>
        <v>23395</v>
      </c>
    </row>
    <row r="153" spans="2:18" x14ac:dyDescent="0.25">
      <c r="B153" s="7" t="s">
        <v>74</v>
      </c>
      <c r="C153" s="7">
        <f>61*400</f>
        <v>24400</v>
      </c>
      <c r="E153" s="7" t="s">
        <v>74</v>
      </c>
      <c r="F153" s="7">
        <f>61*400</f>
        <v>24400</v>
      </c>
      <c r="H153" s="7" t="s">
        <v>74</v>
      </c>
      <c r="I153" s="7">
        <f>61*400</f>
        <v>24400</v>
      </c>
      <c r="K153" s="7" t="s">
        <v>74</v>
      </c>
      <c r="L153" s="7">
        <f>61*400</f>
        <v>24400</v>
      </c>
      <c r="N153" s="7" t="s">
        <v>74</v>
      </c>
      <c r="O153" s="7">
        <f>61*400</f>
        <v>24400</v>
      </c>
      <c r="Q153" s="7" t="s">
        <v>74</v>
      </c>
      <c r="R153" s="7">
        <f>59*400</f>
        <v>23600</v>
      </c>
    </row>
    <row r="154" spans="2:18" x14ac:dyDescent="0.25">
      <c r="B154" s="7" t="s">
        <v>75</v>
      </c>
      <c r="C154" s="7">
        <f>61*400</f>
        <v>24400</v>
      </c>
      <c r="E154" s="7" t="s">
        <v>75</v>
      </c>
      <c r="F154" s="7">
        <f>61*400</f>
        <v>24400</v>
      </c>
      <c r="H154" s="7" t="s">
        <v>75</v>
      </c>
      <c r="I154" s="7">
        <f>59*430</f>
        <v>25370</v>
      </c>
      <c r="K154" s="7" t="s">
        <v>75</v>
      </c>
      <c r="L154" s="7">
        <f>60*400</f>
        <v>24000</v>
      </c>
      <c r="N154" s="7" t="s">
        <v>75</v>
      </c>
      <c r="O154" s="7">
        <f>59*420</f>
        <v>24780</v>
      </c>
      <c r="Q154" s="7" t="s">
        <v>75</v>
      </c>
      <c r="R154" s="7">
        <f>59*400</f>
        <v>23600</v>
      </c>
    </row>
    <row r="155" spans="2:18" x14ac:dyDescent="0.25">
      <c r="B155" s="7"/>
      <c r="C155" s="7"/>
      <c r="E155" s="7"/>
      <c r="F155" s="7"/>
      <c r="H155" s="7"/>
      <c r="I155" s="7"/>
      <c r="K155" s="7"/>
      <c r="L155" s="7"/>
      <c r="N155" s="7"/>
      <c r="O155" s="7"/>
      <c r="Q155" s="7"/>
      <c r="R155" s="7"/>
    </row>
    <row r="156" spans="2:18" x14ac:dyDescent="0.25">
      <c r="B156" s="7"/>
      <c r="C156" s="7"/>
      <c r="E156" s="7"/>
      <c r="F156" s="7"/>
      <c r="H156" s="7"/>
      <c r="I156" s="7"/>
      <c r="K156" s="7"/>
      <c r="L156" s="7"/>
      <c r="N156" s="7"/>
      <c r="O156" s="7"/>
      <c r="Q156" s="7"/>
      <c r="R156" s="7"/>
    </row>
    <row r="157" spans="2:18" x14ac:dyDescent="0.25">
      <c r="B157" s="7"/>
      <c r="C157" s="7"/>
      <c r="E157" s="7"/>
      <c r="F157" s="7"/>
      <c r="H157" s="7"/>
      <c r="I157" s="7"/>
      <c r="K157" s="7"/>
      <c r="L157" s="7"/>
      <c r="N157" s="7"/>
      <c r="O157" s="7"/>
      <c r="Q157" s="7"/>
      <c r="R157" s="7"/>
    </row>
    <row r="158" spans="2:18" x14ac:dyDescent="0.25">
      <c r="B158" s="7" t="s">
        <v>76</v>
      </c>
      <c r="C158" s="7">
        <f>C154+C155+C156+C157-C152</f>
        <v>632</v>
      </c>
      <c r="E158" s="7" t="s">
        <v>76</v>
      </c>
      <c r="F158" s="7">
        <f>F154+F155+F156+F157-F152</f>
        <v>576</v>
      </c>
      <c r="H158" s="7" t="s">
        <v>76</v>
      </c>
      <c r="I158" s="7">
        <f>I154+I155+I156+I157-I152</f>
        <v>1742</v>
      </c>
      <c r="K158" s="7" t="s">
        <v>76</v>
      </c>
      <c r="L158" s="7">
        <f>L154+L155+L156+L157-L152</f>
        <v>620</v>
      </c>
      <c r="N158" s="7" t="s">
        <v>76</v>
      </c>
      <c r="O158" s="7">
        <f>O154+O155+O156+O157-O152</f>
        <v>1400</v>
      </c>
      <c r="Q158" s="7" t="s">
        <v>76</v>
      </c>
      <c r="R158" s="7">
        <f>R154+R155+R156+R157-R152</f>
        <v>205</v>
      </c>
    </row>
    <row r="160" spans="2:18" x14ac:dyDescent="0.25">
      <c r="B160" s="5" t="s">
        <v>105</v>
      </c>
      <c r="D160" s="5">
        <f>C158+F158+I158+L158+O158+R158+U158+X158</f>
        <v>5175</v>
      </c>
    </row>
    <row r="163" spans="2:21" x14ac:dyDescent="0.25">
      <c r="B163" s="6" t="s">
        <v>64</v>
      </c>
      <c r="C163" s="6" t="s">
        <v>110</v>
      </c>
      <c r="E163" s="6" t="s">
        <v>64</v>
      </c>
      <c r="F163" s="6" t="s">
        <v>111</v>
      </c>
      <c r="H163" s="6" t="s">
        <v>64</v>
      </c>
      <c r="I163" s="6" t="s">
        <v>112</v>
      </c>
      <c r="K163" s="6" t="s">
        <v>64</v>
      </c>
      <c r="L163" s="6" t="s">
        <v>112</v>
      </c>
      <c r="N163" s="6" t="s">
        <v>64</v>
      </c>
      <c r="O163" s="6" t="s">
        <v>113</v>
      </c>
      <c r="Q163" s="6" t="s">
        <v>64</v>
      </c>
      <c r="R163" s="6" t="s">
        <v>114</v>
      </c>
      <c r="T163" s="6" t="s">
        <v>64</v>
      </c>
      <c r="U163" s="6" t="s">
        <v>114</v>
      </c>
    </row>
    <row r="164" spans="2:21" x14ac:dyDescent="0.25">
      <c r="B164" s="6" t="s">
        <v>71</v>
      </c>
      <c r="C164" s="6" t="s">
        <v>28</v>
      </c>
      <c r="E164" s="6" t="s">
        <v>71</v>
      </c>
      <c r="F164" s="6" t="s">
        <v>28</v>
      </c>
      <c r="H164" s="6" t="s">
        <v>71</v>
      </c>
      <c r="I164" s="6" t="s">
        <v>56</v>
      </c>
      <c r="K164" s="6" t="s">
        <v>71</v>
      </c>
      <c r="L164" s="6" t="s">
        <v>56</v>
      </c>
      <c r="N164" s="6" t="s">
        <v>71</v>
      </c>
      <c r="O164" s="6" t="s">
        <v>28</v>
      </c>
      <c r="Q164" s="6" t="s">
        <v>71</v>
      </c>
      <c r="R164" s="6" t="s">
        <v>56</v>
      </c>
      <c r="T164" s="6" t="s">
        <v>71</v>
      </c>
      <c r="U164" s="6" t="s">
        <v>56</v>
      </c>
    </row>
    <row r="165" spans="2:21" x14ac:dyDescent="0.25">
      <c r="B165" s="6" t="s">
        <v>72</v>
      </c>
      <c r="C165" s="7">
        <v>7378</v>
      </c>
      <c r="E165" s="6" t="s">
        <v>72</v>
      </c>
      <c r="F165" s="7">
        <v>3258</v>
      </c>
      <c r="H165" s="6" t="s">
        <v>72</v>
      </c>
      <c r="I165" s="7">
        <v>10870</v>
      </c>
      <c r="K165" s="6" t="s">
        <v>72</v>
      </c>
      <c r="L165" s="7">
        <v>12348</v>
      </c>
      <c r="N165" s="6" t="s">
        <v>72</v>
      </c>
      <c r="O165" s="7">
        <v>7345</v>
      </c>
      <c r="Q165" s="6" t="s">
        <v>72</v>
      </c>
      <c r="R165" s="7">
        <v>11899</v>
      </c>
      <c r="T165" s="6" t="s">
        <v>72</v>
      </c>
      <c r="U165" s="7">
        <v>11364</v>
      </c>
    </row>
    <row r="166" spans="2:21" x14ac:dyDescent="0.25">
      <c r="B166" s="7"/>
      <c r="C166" s="7">
        <v>1386</v>
      </c>
      <c r="E166" s="7"/>
      <c r="F166" s="7">
        <v>3804</v>
      </c>
      <c r="H166" s="7"/>
      <c r="I166" s="7">
        <v>2348</v>
      </c>
      <c r="K166" s="7"/>
      <c r="L166" s="7"/>
      <c r="N166" s="7"/>
      <c r="O166" s="7">
        <v>1548</v>
      </c>
      <c r="Q166" s="7"/>
      <c r="R166" s="7">
        <v>2555</v>
      </c>
      <c r="T166" s="7"/>
      <c r="U166" s="7">
        <v>2484</v>
      </c>
    </row>
    <row r="167" spans="2:21" x14ac:dyDescent="0.25">
      <c r="B167" s="7"/>
      <c r="C167" s="7">
        <v>1360</v>
      </c>
      <c r="E167" s="7"/>
      <c r="F167" s="7">
        <v>1494</v>
      </c>
      <c r="H167" s="7"/>
      <c r="I167" s="7">
        <v>2507</v>
      </c>
      <c r="K167" s="7"/>
      <c r="L167" s="7"/>
      <c r="N167" s="7"/>
      <c r="O167" s="7">
        <v>1505</v>
      </c>
      <c r="Q167" s="7"/>
      <c r="R167" s="7">
        <v>2507</v>
      </c>
      <c r="T167" s="7"/>
      <c r="U167" s="7">
        <v>2622</v>
      </c>
    </row>
    <row r="168" spans="2:21" x14ac:dyDescent="0.25">
      <c r="B168" s="7"/>
      <c r="C168" s="7">
        <f>3480*4</f>
        <v>13920</v>
      </c>
      <c r="E168" s="7"/>
      <c r="F168" s="7">
        <v>1428</v>
      </c>
      <c r="H168" s="7"/>
      <c r="I168" s="7">
        <f>2610*4</f>
        <v>10440</v>
      </c>
      <c r="K168" s="7"/>
      <c r="L168" s="7">
        <f>2610*4</f>
        <v>10440</v>
      </c>
      <c r="N168" s="7"/>
      <c r="O168" s="7"/>
      <c r="Q168" s="7"/>
      <c r="R168" s="7">
        <f>2610*4</f>
        <v>10440</v>
      </c>
      <c r="T168" s="7"/>
      <c r="U168" s="7">
        <f>2610*4</f>
        <v>10440</v>
      </c>
    </row>
    <row r="169" spans="2:21" x14ac:dyDescent="0.25">
      <c r="B169" s="7"/>
      <c r="E169" s="7"/>
      <c r="F169" s="7">
        <f>3480*4</f>
        <v>13920</v>
      </c>
      <c r="H169" s="7"/>
      <c r="I169" s="7"/>
      <c r="K169" s="7"/>
      <c r="L169" s="7"/>
      <c r="N169" s="7"/>
      <c r="O169" s="7">
        <f>3480*4</f>
        <v>13920</v>
      </c>
      <c r="Q169" s="7"/>
      <c r="R169" s="7"/>
      <c r="T169" s="7"/>
      <c r="U169" s="7"/>
    </row>
    <row r="170" spans="2:21" x14ac:dyDescent="0.25">
      <c r="B170" s="7"/>
      <c r="C170" s="7"/>
      <c r="E170" s="7"/>
      <c r="F170" s="7"/>
      <c r="H170" s="7"/>
      <c r="I170" s="7"/>
      <c r="K170" s="7"/>
      <c r="L170" s="7"/>
      <c r="N170" s="7"/>
      <c r="O170" s="7"/>
      <c r="Q170" s="7"/>
      <c r="R170" s="7"/>
      <c r="T170" s="7"/>
      <c r="U170" s="7"/>
    </row>
    <row r="171" spans="2:21" x14ac:dyDescent="0.25">
      <c r="B171" s="7"/>
      <c r="C171" s="7"/>
      <c r="E171" s="7"/>
      <c r="F171" s="7"/>
      <c r="H171" s="7"/>
      <c r="I171" s="7"/>
      <c r="K171" s="7"/>
      <c r="L171" s="7"/>
      <c r="N171" s="7"/>
      <c r="O171" s="7"/>
      <c r="Q171" s="7"/>
      <c r="R171" s="7"/>
      <c r="T171" s="7"/>
      <c r="U171" s="7"/>
    </row>
    <row r="172" spans="2:21" x14ac:dyDescent="0.25">
      <c r="B172" s="7"/>
      <c r="C172" s="7"/>
      <c r="E172" s="7"/>
      <c r="F172" s="7"/>
      <c r="H172" s="7"/>
      <c r="I172" s="7"/>
      <c r="K172" s="7"/>
      <c r="L172" s="7"/>
      <c r="N172" s="7"/>
      <c r="O172" s="7"/>
      <c r="Q172" s="7"/>
      <c r="R172" s="7"/>
      <c r="T172" s="7"/>
      <c r="U172" s="7"/>
    </row>
    <row r="173" spans="2:21" x14ac:dyDescent="0.25">
      <c r="B173" s="7"/>
      <c r="C173" s="7"/>
      <c r="E173" s="7"/>
      <c r="F173" s="7"/>
      <c r="H173" s="7"/>
      <c r="I173" s="7"/>
      <c r="K173" s="7"/>
      <c r="L173" s="7"/>
      <c r="N173" s="7"/>
      <c r="O173" s="7"/>
      <c r="Q173" s="7"/>
      <c r="R173" s="7"/>
      <c r="T173" s="7"/>
      <c r="U173" s="7"/>
    </row>
    <row r="174" spans="2:21" x14ac:dyDescent="0.25">
      <c r="B174" s="7"/>
      <c r="C174" s="7"/>
      <c r="E174" s="7"/>
      <c r="F174" s="7"/>
      <c r="H174" s="7"/>
      <c r="I174" s="7"/>
      <c r="K174" s="7"/>
      <c r="L174" s="7"/>
      <c r="N174" s="7"/>
      <c r="O174" s="7"/>
      <c r="Q174" s="7"/>
      <c r="R174" s="7"/>
      <c r="T174" s="7"/>
      <c r="U174" s="7"/>
    </row>
    <row r="175" spans="2:21" x14ac:dyDescent="0.25">
      <c r="B175" s="7" t="s">
        <v>73</v>
      </c>
      <c r="C175" s="7">
        <f>C165+C166+C167+C168</f>
        <v>24044</v>
      </c>
      <c r="E175" s="7" t="s">
        <v>73</v>
      </c>
      <c r="F175" s="7">
        <f>F165+F166+F167+F168+F169+F170</f>
        <v>23904</v>
      </c>
      <c r="H175" s="7" t="s">
        <v>73</v>
      </c>
      <c r="I175" s="7">
        <f>I165+I166+I167+I168+I169+I170</f>
        <v>26165</v>
      </c>
      <c r="K175" s="7" t="s">
        <v>73</v>
      </c>
      <c r="L175" s="7">
        <f>L165+L166+L167+L168+L169+L170</f>
        <v>22788</v>
      </c>
      <c r="N175" s="7" t="s">
        <v>73</v>
      </c>
      <c r="O175" s="7">
        <f>O165+O166+O167+O168+O169+O170</f>
        <v>24318</v>
      </c>
      <c r="Q175" s="7" t="s">
        <v>73</v>
      </c>
      <c r="R175" s="7">
        <f>R165+R166+R167+R168+R169+R170</f>
        <v>27401</v>
      </c>
      <c r="T175" s="7" t="s">
        <v>73</v>
      </c>
      <c r="U175" s="7">
        <f>U165+U166+U167+U168+U169+U170</f>
        <v>26910</v>
      </c>
    </row>
    <row r="176" spans="2:21" x14ac:dyDescent="0.25">
      <c r="B176" s="7" t="s">
        <v>74</v>
      </c>
      <c r="C176" s="7">
        <f>59*400</f>
        <v>23600</v>
      </c>
      <c r="E176" s="7" t="s">
        <v>74</v>
      </c>
      <c r="F176" s="7">
        <f>59*400</f>
        <v>23600</v>
      </c>
      <c r="H176" s="7" t="s">
        <v>74</v>
      </c>
      <c r="I176" s="7">
        <f>44*600</f>
        <v>26400</v>
      </c>
      <c r="K176" s="7" t="s">
        <v>74</v>
      </c>
      <c r="L176" s="7">
        <f>44*600</f>
        <v>26400</v>
      </c>
      <c r="N176" s="7" t="s">
        <v>74</v>
      </c>
      <c r="O176" s="7">
        <f>59*400</f>
        <v>23600</v>
      </c>
      <c r="Q176" s="7" t="s">
        <v>74</v>
      </c>
      <c r="R176" s="7">
        <f>45*600</f>
        <v>27000</v>
      </c>
      <c r="T176" s="7" t="s">
        <v>74</v>
      </c>
      <c r="U176" s="7">
        <f>45*600</f>
        <v>27000</v>
      </c>
    </row>
    <row r="177" spans="2:21" x14ac:dyDescent="0.25">
      <c r="B177" s="7" t="s">
        <v>75</v>
      </c>
      <c r="C177" s="7">
        <f>60*440</f>
        <v>26400</v>
      </c>
      <c r="E177" s="7" t="s">
        <v>75</v>
      </c>
      <c r="F177" s="7">
        <f>59*410</f>
        <v>24190</v>
      </c>
      <c r="H177" s="7" t="s">
        <v>75</v>
      </c>
      <c r="I177" s="7">
        <f>615*44</f>
        <v>27060</v>
      </c>
      <c r="K177" s="7" t="s">
        <v>75</v>
      </c>
      <c r="L177" s="7">
        <f>46*645</f>
        <v>29670</v>
      </c>
      <c r="N177" s="7" t="s">
        <v>75</v>
      </c>
      <c r="O177" s="7">
        <f>61*400</f>
        <v>24400</v>
      </c>
      <c r="Q177" s="7" t="s">
        <v>75</v>
      </c>
      <c r="R177" s="7">
        <f>45*630</f>
        <v>28350</v>
      </c>
      <c r="T177" s="7" t="s">
        <v>75</v>
      </c>
      <c r="U177" s="7">
        <f>45*630</f>
        <v>28350</v>
      </c>
    </row>
    <row r="178" spans="2:21" x14ac:dyDescent="0.25">
      <c r="B178" s="7"/>
      <c r="C178" s="7"/>
      <c r="E178" s="7"/>
      <c r="F178" s="7"/>
      <c r="H178" s="7"/>
      <c r="I178" s="7"/>
      <c r="K178" s="7"/>
      <c r="L178" s="7"/>
      <c r="N178" s="7"/>
      <c r="O178" s="7"/>
      <c r="Q178" s="7"/>
      <c r="R178" s="7"/>
      <c r="T178" s="7"/>
      <c r="U178" s="7"/>
    </row>
    <row r="179" spans="2:21" x14ac:dyDescent="0.25">
      <c r="B179" s="7"/>
      <c r="C179" s="7"/>
      <c r="E179" s="7"/>
      <c r="F179" s="7"/>
      <c r="H179" s="7"/>
      <c r="I179" s="7"/>
      <c r="K179" s="7"/>
      <c r="L179" s="7"/>
      <c r="N179" s="7"/>
      <c r="O179" s="7"/>
      <c r="Q179" s="7"/>
      <c r="R179" s="7"/>
      <c r="T179" s="7"/>
      <c r="U179" s="7"/>
    </row>
    <row r="180" spans="2:21" x14ac:dyDescent="0.25">
      <c r="B180" s="7"/>
      <c r="C180" s="7"/>
      <c r="E180" s="7"/>
      <c r="F180" s="7"/>
      <c r="H180" s="7"/>
      <c r="I180" s="7"/>
      <c r="K180" s="7"/>
      <c r="L180" s="7"/>
      <c r="N180" s="7"/>
      <c r="O180" s="7"/>
      <c r="Q180" s="7"/>
      <c r="R180" s="7"/>
      <c r="T180" s="7"/>
      <c r="U180" s="7"/>
    </row>
    <row r="181" spans="2:21" x14ac:dyDescent="0.25">
      <c r="B181" s="7" t="s">
        <v>76</v>
      </c>
      <c r="C181" s="7">
        <f>C177+C178+C179+C180-C175</f>
        <v>2356</v>
      </c>
      <c r="E181" s="7" t="s">
        <v>76</v>
      </c>
      <c r="F181" s="7">
        <f>F177+F178+F179+F180-F175</f>
        <v>286</v>
      </c>
      <c r="H181" s="7" t="s">
        <v>76</v>
      </c>
      <c r="I181" s="7">
        <f>I177+I178+I179+I180-I175</f>
        <v>895</v>
      </c>
      <c r="K181" s="7" t="s">
        <v>76</v>
      </c>
      <c r="L181" s="7">
        <f>L177+L178+L179+L180-L175</f>
        <v>6882</v>
      </c>
      <c r="N181" s="7" t="s">
        <v>76</v>
      </c>
      <c r="O181" s="7">
        <f>O177+O178+O179+O180-O175</f>
        <v>82</v>
      </c>
      <c r="Q181" s="7" t="s">
        <v>76</v>
      </c>
      <c r="R181" s="7">
        <f>R177+R178+R179+R180-R175</f>
        <v>949</v>
      </c>
      <c r="T181" s="7" t="s">
        <v>76</v>
      </c>
      <c r="U181" s="7">
        <f>U177+U178+U179+U180-U175</f>
        <v>1440</v>
      </c>
    </row>
    <row r="183" spans="2:21" x14ac:dyDescent="0.25">
      <c r="B183" s="5" t="s">
        <v>105</v>
      </c>
      <c r="D183" s="5">
        <f>C181+F181+I181+L181+O181+R181+U181+X181+AA181+AD181+AG181+AJ181</f>
        <v>12890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fusion_mat</vt:lpstr>
      <vt:lpstr>record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NotStrober</dc:creator>
  <cp:lastModifiedBy>명인 김</cp:lastModifiedBy>
  <cp:revision>9</cp:revision>
  <dcterms:created xsi:type="dcterms:W3CDTF">2023-04-08T17:41:33Z</dcterms:created>
  <dcterms:modified xsi:type="dcterms:W3CDTF">2024-10-27T04:12:06Z</dcterms:modified>
  <cp:version>1200.0100.01</cp:version>
</cp:coreProperties>
</file>